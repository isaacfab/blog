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/>
  <workbookPr date1904="1" showInkAnnotation="0" autoCompressPictures="0"/>
  <bookViews>
    <workbookView xWindow="0" yWindow="0" windowWidth="25600" windowHeight="16060" tabRatio="500"/>
  </bookViews>
  <sheets>
    <sheet name="table.csv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65" i="1" l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3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N166" i="1"/>
  <c r="O166" i="1"/>
  <c r="P166" i="1"/>
  <c r="Q166" i="1"/>
  <c r="R166" i="1"/>
</calcChain>
</file>

<file path=xl/sharedStrings.xml><?xml version="1.0" encoding="utf-8"?>
<sst xmlns="http://schemas.openxmlformats.org/spreadsheetml/2006/main" count="22" uniqueCount="11">
  <si>
    <t>Date</t>
  </si>
  <si>
    <t>Honeywell</t>
  </si>
  <si>
    <t>The Boeing Company</t>
  </si>
  <si>
    <t>United Technologies</t>
  </si>
  <si>
    <t>Lockheed</t>
  </si>
  <si>
    <t>Raytheon</t>
  </si>
  <si>
    <t>Stock Market</t>
  </si>
  <si>
    <t>StockMarket</t>
  </si>
  <si>
    <t>$1 Investment</t>
  </si>
  <si>
    <t xml:space="preserve">Stock Price </t>
  </si>
  <si>
    <t>Monthly Return On Each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</si>
</sst>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_-&quot;$&quot;* #,##0.000_-;\-&quot;$&quot;* #,##0.000_-;_-&quot;$&quot;* &quot;-&quot;??_-;_-@_-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44" fontId="0" fillId="0" borderId="0" xfId="1" applyFont="1"/>
    <xf numFmtId="164" fontId="0" fillId="0" borderId="0" xfId="1" applyNumberFormat="1" applyFont="1"/>
    <xf numFmtId="44" fontId="4" fillId="0" borderId="0" xfId="1" applyFont="1"/>
    <xf numFmtId="10" fontId="0" fillId="0" borderId="0" xfId="2" applyNumberFormat="1" applyFont="1"/>
    <xf numFmtId="164" fontId="0" fillId="0" borderId="0" xfId="1" applyNumberFormat="1" applyFont="1" applyAlignment="1">
      <alignment horizontal="center"/>
    </xf>
    <xf numFmtId="44" fontId="0" fillId="0" borderId="0" xfId="1" applyFont="1" applyAlignment="1">
      <alignment horizontal="center"/>
    </xf>
    <xf numFmtId="10" fontId="0" fillId="0" borderId="0" xfId="2" applyNumberFormat="1" applyFont="1" applyAlignment="1">
      <alignment horizontal="center"/>
    </xf>
  </cellXfs>
  <cellStyles count="9">
    <cellStyle name="Currency" xfId="1" builtinId="4"/>
    <cellStyle name="Followed Hyperlink" xfId="4" builtinId="9" hidden="1"/>
    <cellStyle name="Followed Hyperlink" xfId="6" builtinId="9" hidden="1"/>
    <cellStyle name="Followed Hyperlink" xfId="8" builtinId="9" hidden="1"/>
    <cellStyle name="Hyperlink" xfId="3" builtinId="8" hidden="1"/>
    <cellStyle name="Hyperlink" xfId="5" builtinId="8" hidden="1"/>
    <cellStyle name="Hyperlink" xfId="7" builtinId="8" hidden="1"/>
    <cellStyle name="Normal" xfId="0" builtinId="0"/>
    <cellStyle name="Percent" xfId="2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812800</xdr:colOff>
      <xdr:row>2</xdr:row>
      <xdr:rowOff>165100</xdr:rowOff>
    </xdr:from>
    <xdr:to>
      <xdr:col>10</xdr:col>
      <xdr:colOff>685800</xdr:colOff>
      <xdr:row>34</xdr:row>
      <xdr:rowOff>165100</xdr:rowOff>
    </xdr:to>
    <xdr:sp macro="" textlink="">
      <xdr:nvSpPr>
        <xdr:cNvPr id="4" name="Rectangle 3"/>
        <xdr:cNvSpPr/>
      </xdr:nvSpPr>
      <xdr:spPr>
        <a:xfrm>
          <a:off x="812800" y="355600"/>
          <a:ext cx="8128000" cy="60960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66"/>
  <sheetViews>
    <sheetView tabSelected="1" workbookViewId="0">
      <selection activeCell="N2" sqref="N2"/>
    </sheetView>
  </sheetViews>
  <sheetFormatPr baseColWidth="10" defaultRowHeight="15" x14ac:dyDescent="0"/>
  <cols>
    <col min="2" max="7" width="10.83203125" style="3"/>
    <col min="8" max="13" width="10.83203125" style="2"/>
    <col min="14" max="19" width="10.83203125" style="5"/>
  </cols>
  <sheetData>
    <row r="1" spans="1:19">
      <c r="B1" s="6" t="s">
        <v>8</v>
      </c>
      <c r="C1" s="6"/>
      <c r="D1" s="6"/>
      <c r="E1" s="6"/>
      <c r="F1" s="6"/>
      <c r="G1" s="6"/>
      <c r="H1" s="7" t="s">
        <v>9</v>
      </c>
      <c r="I1" s="7"/>
      <c r="J1" s="7"/>
      <c r="K1" s="7"/>
      <c r="L1" s="7"/>
      <c r="M1" s="7"/>
      <c r="N1" s="8" t="s">
        <v>10</v>
      </c>
      <c r="O1" s="8"/>
      <c r="P1" s="8"/>
      <c r="Q1" s="8"/>
      <c r="R1" s="8"/>
      <c r="S1" s="8"/>
    </row>
    <row r="2" spans="1:19">
      <c r="A2" t="s">
        <v>0</v>
      </c>
      <c r="B2" s="3" t="s">
        <v>3</v>
      </c>
      <c r="C2" s="3" t="s">
        <v>2</v>
      </c>
      <c r="D2" s="3" t="s">
        <v>1</v>
      </c>
      <c r="E2" s="3" t="s">
        <v>4</v>
      </c>
      <c r="F2" s="3" t="s">
        <v>5</v>
      </c>
      <c r="G2" s="3" t="s">
        <v>6</v>
      </c>
      <c r="H2" s="2" t="s">
        <v>3</v>
      </c>
      <c r="I2" s="2" t="s">
        <v>2</v>
      </c>
      <c r="J2" s="2" t="s">
        <v>1</v>
      </c>
      <c r="K2" s="2" t="s">
        <v>4</v>
      </c>
      <c r="L2" s="2" t="s">
        <v>5</v>
      </c>
      <c r="M2" s="4" t="s">
        <v>6</v>
      </c>
      <c r="N2" s="5" t="s">
        <v>3</v>
      </c>
      <c r="O2" s="5" t="s">
        <v>2</v>
      </c>
      <c r="P2" s="5" t="s">
        <v>1</v>
      </c>
      <c r="Q2" s="5" t="s">
        <v>4</v>
      </c>
      <c r="R2" s="5" t="s">
        <v>5</v>
      </c>
      <c r="S2" s="5" t="s">
        <v>7</v>
      </c>
    </row>
    <row r="3" spans="1:19">
      <c r="A3" s="1">
        <v>40633</v>
      </c>
      <c r="B3" s="3">
        <f t="shared" ref="B3:G3" si="0">B4*(1+N3)</f>
        <v>6.602593010146566</v>
      </c>
      <c r="C3" s="3">
        <f t="shared" si="0"/>
        <v>5.949780789159024</v>
      </c>
      <c r="D3" s="3">
        <f t="shared" si="0"/>
        <v>5.4507635597683022</v>
      </c>
      <c r="E3" s="3">
        <f t="shared" si="0"/>
        <v>6.4041250402835965</v>
      </c>
      <c r="F3" s="3">
        <f t="shared" si="0"/>
        <v>4.4615384615384652</v>
      </c>
      <c r="G3" s="3">
        <f t="shared" si="0"/>
        <v>2.5660658794282156</v>
      </c>
      <c r="H3" s="2">
        <v>117.13</v>
      </c>
      <c r="I3" s="2">
        <v>149.28</v>
      </c>
      <c r="J3" s="2">
        <v>103.51</v>
      </c>
      <c r="K3" s="2">
        <v>198.72</v>
      </c>
      <c r="L3" s="2">
        <v>108.46</v>
      </c>
      <c r="M3" s="4">
        <v>206.44</v>
      </c>
      <c r="N3" s="5">
        <f t="shared" ref="N3:N34" si="1">(H3-H4)/H4</f>
        <v>-5.9726962457344189E-4</v>
      </c>
      <c r="O3" s="5">
        <f t="shared" ref="O3:S18" si="2">(I3-I4)/I4</f>
        <v>-5.3304904051173461E-3</v>
      </c>
      <c r="P3" s="5">
        <f t="shared" si="2"/>
        <v>-7.6694468411465551E-3</v>
      </c>
      <c r="Q3" s="5">
        <f t="shared" si="2"/>
        <v>-2.0890815924320107E-2</v>
      </c>
      <c r="R3" s="5">
        <f t="shared" si="2"/>
        <v>-7.2311212814645878E-3</v>
      </c>
      <c r="S3" s="5">
        <f t="shared" si="2"/>
        <v>4.8442571331642228E-5</v>
      </c>
    </row>
    <row r="4" spans="1:19">
      <c r="A4" s="1">
        <v>40603</v>
      </c>
      <c r="B4" s="3">
        <f t="shared" ref="B4:B35" si="3">B5*(1+N4)</f>
        <v>6.6065388951522035</v>
      </c>
      <c r="C4" s="3">
        <f t="shared" ref="C4:C35" si="4">C5*(1+O4)</f>
        <v>5.9816660023913881</v>
      </c>
      <c r="D4" s="3">
        <f t="shared" ref="D4:D35" si="5">D5*(1+P4)</f>
        <v>5.4928909952606668</v>
      </c>
      <c r="E4" s="3">
        <f t="shared" ref="E4:E35" si="6">E5*(1+Q4)</f>
        <v>6.5407669996777313</v>
      </c>
      <c r="F4" s="3">
        <f t="shared" ref="F4:F35" si="7">F5*(1+R4)</f>
        <v>4.4940353763883216</v>
      </c>
      <c r="G4" s="3">
        <f t="shared" ref="G4:G67" si="8">G5*(1+S4)</f>
        <v>2.5659415786202606</v>
      </c>
      <c r="H4" s="2">
        <v>117.2</v>
      </c>
      <c r="I4" s="2">
        <v>150.08000000000001</v>
      </c>
      <c r="J4" s="2">
        <v>104.31</v>
      </c>
      <c r="K4" s="2">
        <v>202.96</v>
      </c>
      <c r="L4" s="2">
        <v>109.25</v>
      </c>
      <c r="M4" s="4">
        <v>206.43</v>
      </c>
      <c r="N4" s="5">
        <f t="shared" si="1"/>
        <v>-3.8635058649823591E-2</v>
      </c>
      <c r="O4" s="5">
        <f t="shared" ref="O4:O67" si="9">(I4-I5)/I5</f>
        <v>-5.104408352668093E-3</v>
      </c>
      <c r="P4" s="5">
        <f t="shared" ref="P4:P67" si="10">(J4-J5)/J5</f>
        <v>1.4886164623467611E-2</v>
      </c>
      <c r="Q4" s="5">
        <f t="shared" ref="Q4:Q67" si="11">(K4-K5)/K5</f>
        <v>1.4546363409147695E-2</v>
      </c>
      <c r="R4" s="5">
        <f t="shared" ref="R4:S67" si="12">(L4-L5)/L5</f>
        <v>1.0544815465729355E-2</v>
      </c>
      <c r="S4" s="5">
        <f t="shared" si="2"/>
        <v>-1.5687583444592753E-2</v>
      </c>
    </row>
    <row r="5" spans="1:19">
      <c r="A5" s="1">
        <v>40575</v>
      </c>
      <c r="B5" s="3">
        <f t="shared" si="3"/>
        <v>6.8720405862457774</v>
      </c>
      <c r="C5" s="3">
        <f t="shared" si="4"/>
        <v>6.0123555201275378</v>
      </c>
      <c r="D5" s="3">
        <f t="shared" si="5"/>
        <v>5.412322274881519</v>
      </c>
      <c r="E5" s="3">
        <f t="shared" si="6"/>
        <v>6.4469867869803421</v>
      </c>
      <c r="F5" s="3">
        <f t="shared" si="7"/>
        <v>4.4471410941999219</v>
      </c>
      <c r="G5" s="3">
        <f t="shared" si="8"/>
        <v>2.6068365444375385</v>
      </c>
      <c r="H5" s="2">
        <v>121.91</v>
      </c>
      <c r="I5" s="2">
        <v>150.85</v>
      </c>
      <c r="J5" s="2">
        <v>102.78</v>
      </c>
      <c r="K5" s="2">
        <v>200.05</v>
      </c>
      <c r="L5" s="2">
        <v>108.11</v>
      </c>
      <c r="M5" s="4">
        <v>209.72</v>
      </c>
      <c r="N5" s="5">
        <f t="shared" si="1"/>
        <v>6.7887175893482837E-2</v>
      </c>
      <c r="O5" s="5">
        <f t="shared" si="9"/>
        <v>4.4089147286821742E-2</v>
      </c>
      <c r="P5" s="5">
        <f t="shared" si="10"/>
        <v>5.6646448031253266E-2</v>
      </c>
      <c r="Q5" s="5">
        <f t="shared" si="11"/>
        <v>6.984330712872347E-2</v>
      </c>
      <c r="R5" s="5">
        <f t="shared" si="12"/>
        <v>8.7188254223652478E-2</v>
      </c>
      <c r="S5" s="5">
        <f t="shared" si="2"/>
        <v>5.6204673650282012E-2</v>
      </c>
    </row>
    <row r="6" spans="1:19">
      <c r="A6" s="1">
        <v>40544</v>
      </c>
      <c r="B6" s="3">
        <f t="shared" si="3"/>
        <v>6.4351747463359681</v>
      </c>
      <c r="C6" s="3">
        <f t="shared" si="4"/>
        <v>5.7584695097648435</v>
      </c>
      <c r="D6" s="3">
        <f t="shared" si="5"/>
        <v>5.1221695629278594</v>
      </c>
      <c r="E6" s="3">
        <f t="shared" si="6"/>
        <v>6.0261037705446352</v>
      </c>
      <c r="F6" s="3">
        <f t="shared" si="7"/>
        <v>4.0904977375565652</v>
      </c>
      <c r="G6" s="3">
        <f t="shared" si="8"/>
        <v>2.468116842759478</v>
      </c>
      <c r="H6" s="2">
        <v>114.16</v>
      </c>
      <c r="I6" s="2">
        <v>144.47999999999999</v>
      </c>
      <c r="J6" s="2">
        <v>97.27</v>
      </c>
      <c r="K6" s="2">
        <v>186.99</v>
      </c>
      <c r="L6" s="2">
        <v>99.44</v>
      </c>
      <c r="M6" s="4">
        <v>198.56</v>
      </c>
      <c r="N6" s="5">
        <f t="shared" si="1"/>
        <v>-1.9234131841230886E-3</v>
      </c>
      <c r="O6" s="5">
        <f t="shared" si="9"/>
        <v>0.11843938690199708</v>
      </c>
      <c r="P6" s="5">
        <f t="shared" si="10"/>
        <v>-2.1625427479380462E-2</v>
      </c>
      <c r="Q6" s="5">
        <f t="shared" si="11"/>
        <v>-2.1814187068424293E-2</v>
      </c>
      <c r="R6" s="5">
        <f t="shared" si="12"/>
        <v>-6.9871854831166397E-2</v>
      </c>
      <c r="S6" s="5">
        <f t="shared" si="2"/>
        <v>-2.9663294727068336E-2</v>
      </c>
    </row>
    <row r="7" spans="1:19">
      <c r="A7" s="1">
        <v>40512</v>
      </c>
      <c r="B7" s="3">
        <f t="shared" si="3"/>
        <v>6.4475760992108269</v>
      </c>
      <c r="C7" s="3">
        <f t="shared" si="4"/>
        <v>5.1486648066958924</v>
      </c>
      <c r="D7" s="3">
        <f t="shared" si="5"/>
        <v>5.2353870458135887</v>
      </c>
      <c r="E7" s="3">
        <f t="shared" si="6"/>
        <v>6.1604898485336781</v>
      </c>
      <c r="F7" s="3">
        <f t="shared" si="7"/>
        <v>4.3977786918963435</v>
      </c>
      <c r="G7" s="3">
        <f t="shared" si="8"/>
        <v>2.5435674331883158</v>
      </c>
      <c r="H7" s="2">
        <v>114.38</v>
      </c>
      <c r="I7" s="2">
        <v>129.18</v>
      </c>
      <c r="J7" s="2">
        <v>99.42</v>
      </c>
      <c r="K7" s="2">
        <v>191.16</v>
      </c>
      <c r="L7" s="2">
        <v>106.91</v>
      </c>
      <c r="M7" s="4">
        <v>204.63</v>
      </c>
      <c r="N7" s="5">
        <f t="shared" si="1"/>
        <v>4.4661612932687923E-2</v>
      </c>
      <c r="O7" s="5">
        <f t="shared" si="9"/>
        <v>-3.2576949000224627E-2</v>
      </c>
      <c r="P7" s="5">
        <f t="shared" si="10"/>
        <v>8.5209981740718543E-3</v>
      </c>
      <c r="Q7" s="5">
        <f t="shared" si="11"/>
        <v>5.2587294909549852E-3</v>
      </c>
      <c r="R7" s="5">
        <f t="shared" si="12"/>
        <v>1.3749288829888138E-2</v>
      </c>
      <c r="S7" s="5">
        <f t="shared" si="2"/>
        <v>-2.5347306848647827E-3</v>
      </c>
    </row>
    <row r="8" spans="1:19">
      <c r="A8" s="1">
        <v>40484</v>
      </c>
      <c r="B8" s="3">
        <f t="shared" si="3"/>
        <v>6.171927846674186</v>
      </c>
      <c r="C8" s="3">
        <f t="shared" si="4"/>
        <v>5.3220406536468685</v>
      </c>
      <c r="D8" s="3">
        <f t="shared" si="5"/>
        <v>5.1911532385466055</v>
      </c>
      <c r="E8" s="3">
        <f t="shared" si="6"/>
        <v>6.1282629713180805</v>
      </c>
      <c r="F8" s="3">
        <f t="shared" si="7"/>
        <v>4.3381324557795189</v>
      </c>
      <c r="G8" s="3">
        <f t="shared" si="8"/>
        <v>2.5500310752019888</v>
      </c>
      <c r="H8" s="2">
        <v>109.49</v>
      </c>
      <c r="I8" s="2">
        <v>133.53</v>
      </c>
      <c r="J8" s="2">
        <v>98.58</v>
      </c>
      <c r="K8" s="2">
        <v>190.16</v>
      </c>
      <c r="L8" s="2">
        <v>105.46</v>
      </c>
      <c r="M8" s="4">
        <v>205.15</v>
      </c>
      <c r="N8" s="5">
        <f t="shared" si="1"/>
        <v>3.43882853094001E-2</v>
      </c>
      <c r="O8" s="5">
        <f t="shared" si="9"/>
        <v>8.1915410792416141E-2</v>
      </c>
      <c r="P8" s="5">
        <f t="shared" si="10"/>
        <v>3.6266162093976692E-2</v>
      </c>
      <c r="Q8" s="5">
        <f t="shared" si="11"/>
        <v>1.3267970373528051E-2</v>
      </c>
      <c r="R8" s="5">
        <f t="shared" si="12"/>
        <v>2.717444238823407E-2</v>
      </c>
      <c r="S8" s="5">
        <f t="shared" si="2"/>
        <v>2.7496744465591551E-2</v>
      </c>
    </row>
    <row r="9" spans="1:19">
      <c r="A9" s="1">
        <v>40451</v>
      </c>
      <c r="B9" s="3">
        <f t="shared" si="3"/>
        <v>5.9667418263810621</v>
      </c>
      <c r="C9" s="3">
        <f t="shared" si="4"/>
        <v>4.9190912714228752</v>
      </c>
      <c r="D9" s="3">
        <f t="shared" si="5"/>
        <v>5.0094786729857841</v>
      </c>
      <c r="E9" s="3">
        <f t="shared" si="6"/>
        <v>6.048018047051241</v>
      </c>
      <c r="F9" s="3">
        <f t="shared" si="7"/>
        <v>4.2233648704236986</v>
      </c>
      <c r="G9" s="3">
        <f t="shared" si="8"/>
        <v>2.4817899316345553</v>
      </c>
      <c r="H9" s="2">
        <v>105.85</v>
      </c>
      <c r="I9" s="2">
        <v>123.42</v>
      </c>
      <c r="J9" s="2">
        <v>95.13</v>
      </c>
      <c r="K9" s="2">
        <v>187.67</v>
      </c>
      <c r="L9" s="2">
        <v>102.67</v>
      </c>
      <c r="M9" s="4">
        <v>199.66</v>
      </c>
      <c r="N9" s="5">
        <f t="shared" si="1"/>
        <v>1.3306528814857367E-2</v>
      </c>
      <c r="O9" s="5">
        <f t="shared" si="9"/>
        <v>-1.9386620054028268E-2</v>
      </c>
      <c r="P9" s="5">
        <f t="shared" si="10"/>
        <v>3.2226562499999986E-2</v>
      </c>
      <c r="Q9" s="5">
        <f t="shared" si="11"/>
        <v>4.2611111111111044E-2</v>
      </c>
      <c r="R9" s="5">
        <f t="shared" si="12"/>
        <v>2.2202309836718479E-2</v>
      </c>
      <c r="S9" s="5">
        <f t="shared" si="2"/>
        <v>2.3530014866458213E-2</v>
      </c>
    </row>
    <row r="10" spans="1:19">
      <c r="A10" s="1">
        <v>40422</v>
      </c>
      <c r="B10" s="3">
        <f t="shared" si="3"/>
        <v>5.888387824126271</v>
      </c>
      <c r="C10" s="3">
        <f t="shared" si="4"/>
        <v>5.0163411717815833</v>
      </c>
      <c r="D10" s="3">
        <f t="shared" si="5"/>
        <v>4.8530805687203813</v>
      </c>
      <c r="E10" s="3">
        <f t="shared" si="6"/>
        <v>5.8008378988076066</v>
      </c>
      <c r="F10" s="3">
        <f t="shared" si="7"/>
        <v>4.1316330728095476</v>
      </c>
      <c r="G10" s="3">
        <f t="shared" si="8"/>
        <v>2.4247358607830951</v>
      </c>
      <c r="H10" s="2">
        <v>104.46</v>
      </c>
      <c r="I10" s="2">
        <v>125.86</v>
      </c>
      <c r="J10" s="2">
        <v>92.16</v>
      </c>
      <c r="K10" s="2">
        <v>180</v>
      </c>
      <c r="L10" s="2">
        <v>100.44</v>
      </c>
      <c r="M10" s="4">
        <v>195.07</v>
      </c>
      <c r="N10" s="5">
        <f t="shared" si="1"/>
        <v>-2.2093240966111212E-2</v>
      </c>
      <c r="O10" s="5">
        <f t="shared" si="9"/>
        <v>4.5494452869342577E-3</v>
      </c>
      <c r="P10" s="5">
        <f t="shared" si="10"/>
        <v>-2.2175066312997385E-2</v>
      </c>
      <c r="Q10" s="5">
        <f t="shared" si="11"/>
        <v>5.0481470674058976E-2</v>
      </c>
      <c r="R10" s="5">
        <f t="shared" si="12"/>
        <v>6.1172741679873133E-2</v>
      </c>
      <c r="S10" s="5">
        <f t="shared" si="2"/>
        <v>-1.3801820020222538E-2</v>
      </c>
    </row>
    <row r="11" spans="1:19">
      <c r="A11" s="1">
        <v>40390</v>
      </c>
      <c r="B11" s="3">
        <f t="shared" si="3"/>
        <v>6.0214205186020324</v>
      </c>
      <c r="C11" s="3">
        <f t="shared" si="4"/>
        <v>4.9936229573535238</v>
      </c>
      <c r="D11" s="3">
        <f t="shared" si="5"/>
        <v>4.9631384939441832</v>
      </c>
      <c r="E11" s="3">
        <f t="shared" si="6"/>
        <v>5.5220754108926853</v>
      </c>
      <c r="F11" s="3">
        <f t="shared" si="7"/>
        <v>3.8934594816947801</v>
      </c>
      <c r="G11" s="3">
        <f t="shared" si="8"/>
        <v>2.4586699813548791</v>
      </c>
      <c r="H11" s="2">
        <v>106.82</v>
      </c>
      <c r="I11" s="2">
        <v>125.29</v>
      </c>
      <c r="J11" s="2">
        <v>94.25</v>
      </c>
      <c r="K11" s="2">
        <v>171.35</v>
      </c>
      <c r="L11" s="2">
        <v>94.65</v>
      </c>
      <c r="M11" s="4">
        <v>197.8</v>
      </c>
      <c r="N11" s="5">
        <f t="shared" si="1"/>
        <v>3.2775790389635372E-2</v>
      </c>
      <c r="O11" s="5">
        <f t="shared" si="9"/>
        <v>5.881855826924709E-2</v>
      </c>
      <c r="P11" s="5">
        <f t="shared" si="10"/>
        <v>4.2012161415146458E-2</v>
      </c>
      <c r="Q11" s="5">
        <f t="shared" si="11"/>
        <v>5.0003063913229957E-2</v>
      </c>
      <c r="R11" s="5">
        <f t="shared" si="12"/>
        <v>6.1336622561112338E-2</v>
      </c>
      <c r="S11" s="5">
        <f t="shared" si="2"/>
        <v>3.9466078091334379E-2</v>
      </c>
    </row>
    <row r="12" spans="1:19">
      <c r="A12" s="1">
        <v>40359</v>
      </c>
      <c r="B12" s="3">
        <f t="shared" si="3"/>
        <v>5.8303269447576138</v>
      </c>
      <c r="C12" s="3">
        <f t="shared" si="4"/>
        <v>4.7162216022319612</v>
      </c>
      <c r="D12" s="3">
        <f t="shared" si="5"/>
        <v>4.763033175355452</v>
      </c>
      <c r="E12" s="3">
        <f t="shared" si="6"/>
        <v>5.2591040928134065</v>
      </c>
      <c r="F12" s="3">
        <f t="shared" si="7"/>
        <v>3.668449197860967</v>
      </c>
      <c r="G12" s="3">
        <f t="shared" si="8"/>
        <v>2.365320074580485</v>
      </c>
      <c r="H12" s="2">
        <v>103.43</v>
      </c>
      <c r="I12" s="2">
        <v>118.33</v>
      </c>
      <c r="J12" s="2">
        <v>90.45</v>
      </c>
      <c r="K12" s="2">
        <v>163.19</v>
      </c>
      <c r="L12" s="2">
        <v>89.18</v>
      </c>
      <c r="M12" s="4">
        <v>190.29</v>
      </c>
      <c r="N12" s="5">
        <f t="shared" si="1"/>
        <v>-8.9203945051074277E-2</v>
      </c>
      <c r="O12" s="5">
        <f t="shared" si="9"/>
        <v>-5.3056978233034541E-2</v>
      </c>
      <c r="P12" s="5">
        <f t="shared" si="10"/>
        <v>-1.212319790301441E-2</v>
      </c>
      <c r="Q12" s="5">
        <f t="shared" si="11"/>
        <v>3.8831243236361286E-2</v>
      </c>
      <c r="R12" s="5">
        <f t="shared" si="12"/>
        <v>-1.5999117290080422E-2</v>
      </c>
      <c r="S12" s="5">
        <f t="shared" si="2"/>
        <v>-1.3428038158440498E-2</v>
      </c>
    </row>
    <row r="13" spans="1:19">
      <c r="A13" s="1">
        <v>40330</v>
      </c>
      <c r="B13" s="3">
        <f t="shared" si="3"/>
        <v>6.4013528748590796</v>
      </c>
      <c r="C13" s="3">
        <f t="shared" si="4"/>
        <v>4.9804703068951737</v>
      </c>
      <c r="D13" s="3">
        <f t="shared" si="5"/>
        <v>4.8214849921011078</v>
      </c>
      <c r="E13" s="3">
        <f t="shared" si="6"/>
        <v>5.0625201417982595</v>
      </c>
      <c r="F13" s="3">
        <f t="shared" si="7"/>
        <v>3.7280954339777908</v>
      </c>
      <c r="G13" s="3">
        <f t="shared" si="8"/>
        <v>2.3975139838408954</v>
      </c>
      <c r="H13" s="2">
        <v>113.56</v>
      </c>
      <c r="I13" s="2">
        <v>124.96</v>
      </c>
      <c r="J13" s="2">
        <v>91.56</v>
      </c>
      <c r="K13" s="2">
        <v>157.09</v>
      </c>
      <c r="L13" s="2">
        <v>90.63</v>
      </c>
      <c r="M13" s="4">
        <v>192.88</v>
      </c>
      <c r="N13" s="5">
        <f t="shared" si="1"/>
        <v>-6.6480055983204247E-3</v>
      </c>
      <c r="O13" s="5">
        <f t="shared" si="9"/>
        <v>-5.9248663705488355E-2</v>
      </c>
      <c r="P13" s="5">
        <f t="shared" si="10"/>
        <v>-2.0708446866484764E-3</v>
      </c>
      <c r="Q13" s="5">
        <f t="shared" si="11"/>
        <v>-1.7880587683651049E-2</v>
      </c>
      <c r="R13" s="5">
        <f t="shared" si="12"/>
        <v>-4.8503937007874066E-2</v>
      </c>
      <c r="S13" s="5">
        <f t="shared" si="2"/>
        <v>2.0637104455497969E-2</v>
      </c>
    </row>
    <row r="14" spans="1:19">
      <c r="A14" s="1">
        <v>40298</v>
      </c>
      <c r="B14" s="3">
        <f t="shared" si="3"/>
        <v>6.4441939120631382</v>
      </c>
      <c r="C14" s="3">
        <f t="shared" si="4"/>
        <v>5.2941410920685499</v>
      </c>
      <c r="D14" s="3">
        <f t="shared" si="5"/>
        <v>4.8314902580305441</v>
      </c>
      <c r="E14" s="3">
        <f t="shared" si="6"/>
        <v>5.1546890106348693</v>
      </c>
      <c r="F14" s="3">
        <f t="shared" si="7"/>
        <v>3.9181406828465692</v>
      </c>
      <c r="G14" s="3">
        <f t="shared" si="8"/>
        <v>2.3490366687383468</v>
      </c>
      <c r="H14" s="2">
        <v>114.32</v>
      </c>
      <c r="I14" s="2">
        <v>132.83000000000001</v>
      </c>
      <c r="J14" s="2">
        <v>91.75</v>
      </c>
      <c r="K14" s="2">
        <v>159.94999999999999</v>
      </c>
      <c r="L14" s="2">
        <v>95.25</v>
      </c>
      <c r="M14" s="4">
        <v>188.98</v>
      </c>
      <c r="N14" s="5">
        <f t="shared" si="1"/>
        <v>-1.2951131065446384E-2</v>
      </c>
      <c r="O14" s="5">
        <f t="shared" si="9"/>
        <v>5.4122688675502004E-2</v>
      </c>
      <c r="P14" s="5">
        <f t="shared" si="10"/>
        <v>7.577421480342606E-3</v>
      </c>
      <c r="Q14" s="5">
        <f t="shared" si="11"/>
        <v>5.2793664760227193E-3</v>
      </c>
      <c r="R14" s="5">
        <f t="shared" si="12"/>
        <v>2.1886063727067979E-2</v>
      </c>
      <c r="S14" s="5">
        <f t="shared" si="2"/>
        <v>2.3228111971411513E-2</v>
      </c>
    </row>
    <row r="15" spans="1:19">
      <c r="A15" s="1">
        <v>40268</v>
      </c>
      <c r="B15" s="3">
        <f t="shared" si="3"/>
        <v>6.5287485907553595</v>
      </c>
      <c r="C15" s="3">
        <f t="shared" si="4"/>
        <v>5.0223196492626512</v>
      </c>
      <c r="D15" s="3">
        <f t="shared" si="5"/>
        <v>4.7951553449183804</v>
      </c>
      <c r="E15" s="3">
        <f t="shared" si="6"/>
        <v>5.127618433773768</v>
      </c>
      <c r="F15" s="3">
        <f t="shared" si="7"/>
        <v>3.8342245989304851</v>
      </c>
      <c r="G15" s="3">
        <f t="shared" si="8"/>
        <v>2.2957116221255438</v>
      </c>
      <c r="H15" s="2">
        <v>115.82</v>
      </c>
      <c r="I15" s="2">
        <v>126.01</v>
      </c>
      <c r="J15" s="2">
        <v>91.06</v>
      </c>
      <c r="K15" s="2">
        <v>159.11000000000001</v>
      </c>
      <c r="L15" s="2">
        <v>93.21</v>
      </c>
      <c r="M15" s="4">
        <v>184.69</v>
      </c>
      <c r="N15" s="5">
        <f t="shared" si="1"/>
        <v>1.2766701643931389E-2</v>
      </c>
      <c r="O15" s="5">
        <f t="shared" si="9"/>
        <v>2.8149477806788534E-2</v>
      </c>
      <c r="P15" s="5">
        <f t="shared" si="10"/>
        <v>1.5398152221733454E-3</v>
      </c>
      <c r="Q15" s="5">
        <f t="shared" si="11"/>
        <v>5.4979777553084211E-3</v>
      </c>
      <c r="R15" s="5">
        <f t="shared" si="12"/>
        <v>-3.3492326835338079E-2</v>
      </c>
      <c r="S15" s="5">
        <f t="shared" si="2"/>
        <v>6.9239995638426038E-3</v>
      </c>
    </row>
    <row r="16" spans="1:19">
      <c r="A16" s="1">
        <v>40239</v>
      </c>
      <c r="B16" s="3">
        <f t="shared" si="3"/>
        <v>6.4464487034949309</v>
      </c>
      <c r="C16" s="3">
        <f t="shared" si="4"/>
        <v>4.8848146671980839</v>
      </c>
      <c r="D16" s="3">
        <f t="shared" si="5"/>
        <v>4.7877830437072166</v>
      </c>
      <c r="E16" s="3">
        <f t="shared" si="6"/>
        <v>5.099581050596198</v>
      </c>
      <c r="F16" s="3">
        <f t="shared" si="7"/>
        <v>3.9670917317976184</v>
      </c>
      <c r="G16" s="3">
        <f t="shared" si="8"/>
        <v>2.2799254195152265</v>
      </c>
      <c r="H16" s="2">
        <v>114.36</v>
      </c>
      <c r="I16" s="2">
        <v>122.56</v>
      </c>
      <c r="J16" s="2">
        <v>90.92</v>
      </c>
      <c r="K16" s="2">
        <v>158.24</v>
      </c>
      <c r="L16" s="2">
        <v>96.44</v>
      </c>
      <c r="M16" s="4">
        <v>183.42</v>
      </c>
      <c r="N16" s="5">
        <f t="shared" si="1"/>
        <v>-1.5715034049241035E-3</v>
      </c>
      <c r="O16" s="5">
        <f t="shared" si="9"/>
        <v>-2.6606306091652723E-2</v>
      </c>
      <c r="P16" s="5">
        <f t="shared" si="10"/>
        <v>-1.7824349141190361E-2</v>
      </c>
      <c r="Q16" s="5">
        <f t="shared" si="11"/>
        <v>5.8479532163743702E-3</v>
      </c>
      <c r="R16" s="5">
        <f t="shared" si="12"/>
        <v>1.5264764712074986E-2</v>
      </c>
      <c r="S16" s="5">
        <f t="shared" si="2"/>
        <v>8.3008080919135339E-3</v>
      </c>
    </row>
    <row r="17" spans="1:19">
      <c r="A17" s="1">
        <v>40211</v>
      </c>
      <c r="B17" s="3">
        <f t="shared" si="3"/>
        <v>6.4565952649379978</v>
      </c>
      <c r="C17" s="3">
        <f t="shared" si="4"/>
        <v>5.0183339976086057</v>
      </c>
      <c r="D17" s="3">
        <f t="shared" si="5"/>
        <v>4.8746708794102176</v>
      </c>
      <c r="E17" s="3">
        <f t="shared" si="6"/>
        <v>5.0699323235578468</v>
      </c>
      <c r="F17" s="3">
        <f t="shared" si="7"/>
        <v>3.9074454956807942</v>
      </c>
      <c r="G17" s="3">
        <f t="shared" si="8"/>
        <v>2.2611559975139834</v>
      </c>
      <c r="H17" s="2">
        <v>114.54</v>
      </c>
      <c r="I17" s="2">
        <v>125.91</v>
      </c>
      <c r="J17" s="2">
        <v>92.57</v>
      </c>
      <c r="K17" s="2">
        <v>157.32</v>
      </c>
      <c r="L17" s="2">
        <v>94.99</v>
      </c>
      <c r="M17" s="4">
        <v>181.91</v>
      </c>
      <c r="N17" s="5">
        <f t="shared" si="1"/>
        <v>3.1705998919113763E-2</v>
      </c>
      <c r="O17" s="5">
        <f t="shared" si="9"/>
        <v>3.5018495684340241E-2</v>
      </c>
      <c r="P17" s="5">
        <f t="shared" si="10"/>
        <v>4.0229239240364069E-2</v>
      </c>
      <c r="Q17" s="5">
        <f t="shared" si="11"/>
        <v>8.4441993520369477E-2</v>
      </c>
      <c r="R17" s="5">
        <f t="shared" si="12"/>
        <v>2.981352992194276E-2</v>
      </c>
      <c r="S17" s="5">
        <f t="shared" si="2"/>
        <v>4.5519857463072515E-2</v>
      </c>
    </row>
    <row r="18" spans="1:19">
      <c r="A18" s="1">
        <v>40179</v>
      </c>
      <c r="B18" s="3">
        <f t="shared" si="3"/>
        <v>6.2581736189402521</v>
      </c>
      <c r="C18" s="3">
        <f t="shared" si="4"/>
        <v>4.8485452371462703</v>
      </c>
      <c r="D18" s="3">
        <f t="shared" si="5"/>
        <v>4.6861506055818873</v>
      </c>
      <c r="E18" s="3">
        <f t="shared" si="6"/>
        <v>4.6751530776667733</v>
      </c>
      <c r="F18" s="3">
        <f t="shared" si="7"/>
        <v>3.7943233237350924</v>
      </c>
      <c r="G18" s="3">
        <f t="shared" si="8"/>
        <v>2.1627097576134244</v>
      </c>
      <c r="H18" s="2">
        <v>111.02</v>
      </c>
      <c r="I18" s="2">
        <v>121.65</v>
      </c>
      <c r="J18" s="2">
        <v>88.99</v>
      </c>
      <c r="K18" s="2">
        <v>145.07</v>
      </c>
      <c r="L18" s="2">
        <v>92.24</v>
      </c>
      <c r="M18" s="4">
        <v>173.99</v>
      </c>
      <c r="N18" s="5">
        <f t="shared" si="1"/>
        <v>1.9855595667869932E-3</v>
      </c>
      <c r="O18" s="5">
        <f t="shared" si="9"/>
        <v>-8.2302353651176802E-2</v>
      </c>
      <c r="P18" s="5">
        <f t="shared" si="10"/>
        <v>-1.5707393694603454E-3</v>
      </c>
      <c r="Q18" s="5">
        <f t="shared" si="11"/>
        <v>1.5114407669162387E-2</v>
      </c>
      <c r="R18" s="5">
        <f t="shared" si="12"/>
        <v>4.8181818181818124E-2</v>
      </c>
      <c r="S18" s="5">
        <f t="shared" si="2"/>
        <v>-3.526476296090926E-2</v>
      </c>
    </row>
    <row r="19" spans="1:19">
      <c r="A19" s="1">
        <v>40148</v>
      </c>
      <c r="B19" s="3">
        <f t="shared" si="3"/>
        <v>6.2457722660653925</v>
      </c>
      <c r="C19" s="3">
        <f t="shared" si="4"/>
        <v>5.2833798326026269</v>
      </c>
      <c r="D19" s="3">
        <f t="shared" si="5"/>
        <v>4.6935229067930511</v>
      </c>
      <c r="E19" s="3">
        <f t="shared" si="6"/>
        <v>4.6055430228810827</v>
      </c>
      <c r="F19" s="3">
        <f t="shared" si="7"/>
        <v>3.6199095022624475</v>
      </c>
      <c r="G19" s="3">
        <f t="shared" si="8"/>
        <v>2.2417650714729644</v>
      </c>
      <c r="H19" s="2">
        <v>110.8</v>
      </c>
      <c r="I19" s="2">
        <v>132.56</v>
      </c>
      <c r="J19" s="2">
        <v>89.13</v>
      </c>
      <c r="K19" s="2">
        <v>142.91</v>
      </c>
      <c r="L19" s="2">
        <v>88</v>
      </c>
      <c r="M19" s="4">
        <v>180.35</v>
      </c>
      <c r="N19" s="5">
        <f t="shared" si="1"/>
        <v>2.6496201593477854E-2</v>
      </c>
      <c r="O19" s="5">
        <f t="shared" si="9"/>
        <v>1.6720355882804162E-2</v>
      </c>
      <c r="P19" s="5">
        <f t="shared" si="10"/>
        <v>3.2314107018762937E-2</v>
      </c>
      <c r="Q19" s="5">
        <f t="shared" si="11"/>
        <v>4.9342829870034501E-2</v>
      </c>
      <c r="R19" s="5">
        <f t="shared" si="12"/>
        <v>2.8999064546305006E-2</v>
      </c>
      <c r="S19" s="5">
        <f t="shared" si="12"/>
        <v>2.5940042095682361E-2</v>
      </c>
    </row>
    <row r="20" spans="1:19">
      <c r="A20" s="1">
        <v>40117</v>
      </c>
      <c r="B20" s="3">
        <f t="shared" si="3"/>
        <v>6.0845546786922249</v>
      </c>
      <c r="C20" s="3">
        <f t="shared" si="4"/>
        <v>5.196492626544436</v>
      </c>
      <c r="D20" s="3">
        <f t="shared" si="5"/>
        <v>4.5466034755134306</v>
      </c>
      <c r="E20" s="3">
        <f t="shared" si="6"/>
        <v>4.3889784079922656</v>
      </c>
      <c r="F20" s="3">
        <f t="shared" si="7"/>
        <v>3.5178938708350511</v>
      </c>
      <c r="G20" s="3">
        <f t="shared" si="8"/>
        <v>2.1850839030453697</v>
      </c>
      <c r="H20" s="2">
        <v>107.94</v>
      </c>
      <c r="I20" s="2">
        <v>130.38</v>
      </c>
      <c r="J20" s="2">
        <v>86.34</v>
      </c>
      <c r="K20" s="2">
        <v>136.19</v>
      </c>
      <c r="L20" s="2">
        <v>85.52</v>
      </c>
      <c r="M20" s="4">
        <v>175.79</v>
      </c>
      <c r="N20" s="5">
        <f t="shared" si="1"/>
        <v>4.9183514774494584E-2</v>
      </c>
      <c r="O20" s="5">
        <f t="shared" si="9"/>
        <v>3.2467532467532423E-2</v>
      </c>
      <c r="P20" s="5">
        <f t="shared" si="10"/>
        <v>2.5659301496792544E-2</v>
      </c>
      <c r="Q20" s="5">
        <f t="shared" si="11"/>
        <v>7.2446649342467931E-2</v>
      </c>
      <c r="R20" s="5">
        <f t="shared" si="12"/>
        <v>7.6671282890595355E-2</v>
      </c>
      <c r="S20" s="5">
        <f t="shared" si="12"/>
        <v>2.9637439231535188E-2</v>
      </c>
    </row>
    <row r="21" spans="1:19">
      <c r="A21" s="1">
        <v>40086</v>
      </c>
      <c r="B21" s="3">
        <f t="shared" si="3"/>
        <v>5.799323562570466</v>
      </c>
      <c r="C21" s="3">
        <f t="shared" si="4"/>
        <v>5.0330809087285742</v>
      </c>
      <c r="D21" s="3">
        <f t="shared" si="5"/>
        <v>4.4328593996840473</v>
      </c>
      <c r="E21" s="3">
        <f t="shared" si="6"/>
        <v>4.0924911376087652</v>
      </c>
      <c r="F21" s="3">
        <f t="shared" si="7"/>
        <v>3.2673796791443892</v>
      </c>
      <c r="G21" s="3">
        <f t="shared" si="8"/>
        <v>2.122187694220012</v>
      </c>
      <c r="H21" s="2">
        <v>102.88</v>
      </c>
      <c r="I21" s="2">
        <v>126.28</v>
      </c>
      <c r="J21" s="2">
        <v>84.18</v>
      </c>
      <c r="K21" s="2">
        <v>126.99</v>
      </c>
      <c r="L21" s="2">
        <v>79.430000000000007</v>
      </c>
      <c r="M21" s="4">
        <v>170.73</v>
      </c>
      <c r="N21" s="5">
        <f t="shared" si="1"/>
        <v>-1.4559386973180174E-2</v>
      </c>
      <c r="O21" s="5">
        <f t="shared" si="9"/>
        <v>0.11064204045734387</v>
      </c>
      <c r="P21" s="5">
        <f t="shared" si="10"/>
        <v>4.4546469785333206E-2</v>
      </c>
      <c r="Q21" s="5">
        <f t="shared" si="11"/>
        <v>4.5357260454395712E-2</v>
      </c>
      <c r="R21" s="5">
        <f t="shared" si="12"/>
        <v>6.8756727664155193E-2</v>
      </c>
      <c r="S21" s="5">
        <f t="shared" si="12"/>
        <v>4.633204633204635E-2</v>
      </c>
    </row>
    <row r="22" spans="1:19">
      <c r="A22" s="1">
        <v>40058</v>
      </c>
      <c r="B22" s="3">
        <f t="shared" si="3"/>
        <v>5.8850056369785841</v>
      </c>
      <c r="C22" s="3">
        <f t="shared" si="4"/>
        <v>4.5316859306496591</v>
      </c>
      <c r="D22" s="3">
        <f t="shared" si="5"/>
        <v>4.2438125329120613</v>
      </c>
      <c r="E22" s="3">
        <f t="shared" si="6"/>
        <v>3.9149210441508218</v>
      </c>
      <c r="F22" s="3">
        <f t="shared" si="7"/>
        <v>3.0571781160016487</v>
      </c>
      <c r="G22" s="3">
        <f t="shared" si="8"/>
        <v>2.0282162834058419</v>
      </c>
      <c r="H22" s="2">
        <v>104.4</v>
      </c>
      <c r="I22" s="2">
        <v>113.7</v>
      </c>
      <c r="J22" s="2">
        <v>80.59</v>
      </c>
      <c r="K22" s="2">
        <v>121.48</v>
      </c>
      <c r="L22" s="2">
        <v>74.319999999999993</v>
      </c>
      <c r="M22" s="4">
        <v>163.16999999999999</v>
      </c>
      <c r="N22" s="5">
        <f t="shared" si="1"/>
        <v>7.7065923862581223E-2</v>
      </c>
      <c r="O22" s="5">
        <f t="shared" si="9"/>
        <v>0.13066825775656324</v>
      </c>
      <c r="P22" s="5">
        <f t="shared" si="10"/>
        <v>4.3506409426388698E-2</v>
      </c>
      <c r="Q22" s="5">
        <f t="shared" si="11"/>
        <v>4.1941847499785578E-2</v>
      </c>
      <c r="R22" s="5">
        <f t="shared" si="12"/>
        <v>2.9220329594239019E-2</v>
      </c>
      <c r="S22" s="5">
        <f t="shared" si="12"/>
        <v>3.1611557185306949E-2</v>
      </c>
    </row>
    <row r="23" spans="1:19">
      <c r="A23" s="1">
        <v>40025</v>
      </c>
      <c r="B23" s="3">
        <f t="shared" si="3"/>
        <v>5.4639233370913232</v>
      </c>
      <c r="C23" s="3">
        <f t="shared" si="4"/>
        <v>4.0079713033080893</v>
      </c>
      <c r="D23" s="3">
        <f t="shared" si="5"/>
        <v>4.066877303844131</v>
      </c>
      <c r="E23" s="3">
        <f t="shared" si="6"/>
        <v>3.757331614566549</v>
      </c>
      <c r="F23" s="3">
        <f t="shared" si="7"/>
        <v>2.9703825586178558</v>
      </c>
      <c r="G23" s="3">
        <f t="shared" si="8"/>
        <v>1.966065879428216</v>
      </c>
      <c r="H23" s="2">
        <v>96.93</v>
      </c>
      <c r="I23" s="2">
        <v>100.56</v>
      </c>
      <c r="J23" s="2">
        <v>77.23</v>
      </c>
      <c r="K23" s="2">
        <v>116.59</v>
      </c>
      <c r="L23" s="2">
        <v>72.209999999999994</v>
      </c>
      <c r="M23" s="4">
        <v>158.16999999999999</v>
      </c>
      <c r="N23" s="5">
        <f t="shared" si="1"/>
        <v>-4.699636220627261E-2</v>
      </c>
      <c r="O23" s="5">
        <f t="shared" si="9"/>
        <v>-6.716712761754175E-3</v>
      </c>
      <c r="P23" s="5">
        <f t="shared" si="10"/>
        <v>-3.6191189317359186E-2</v>
      </c>
      <c r="Q23" s="5">
        <f t="shared" si="11"/>
        <v>2.8765551927997929E-2</v>
      </c>
      <c r="R23" s="5">
        <f t="shared" si="12"/>
        <v>4.9716528565198245E-2</v>
      </c>
      <c r="S23" s="5">
        <f t="shared" si="12"/>
        <v>-2.9988961118606737E-2</v>
      </c>
    </row>
    <row r="24" spans="1:19">
      <c r="A24" s="1">
        <v>39994</v>
      </c>
      <c r="B24" s="3">
        <f t="shared" si="3"/>
        <v>5.7333709131905328</v>
      </c>
      <c r="C24" s="3">
        <f t="shared" si="4"/>
        <v>4.0350737345555983</v>
      </c>
      <c r="D24" s="3">
        <f t="shared" si="5"/>
        <v>4.2195892575039515</v>
      </c>
      <c r="E24" s="3">
        <f t="shared" si="6"/>
        <v>3.6522719948437001</v>
      </c>
      <c r="F24" s="3">
        <f t="shared" si="7"/>
        <v>2.829699712052657</v>
      </c>
      <c r="G24" s="3">
        <f t="shared" si="8"/>
        <v>2.0268489745183342</v>
      </c>
      <c r="H24" s="2">
        <v>101.71</v>
      </c>
      <c r="I24" s="2">
        <v>101.24</v>
      </c>
      <c r="J24" s="2">
        <v>80.13</v>
      </c>
      <c r="K24" s="2">
        <v>113.33</v>
      </c>
      <c r="L24" s="2">
        <v>68.790000000000006</v>
      </c>
      <c r="M24" s="4">
        <v>163.06</v>
      </c>
      <c r="N24" s="5">
        <f t="shared" si="1"/>
        <v>0.13591690864418121</v>
      </c>
      <c r="O24" s="5">
        <f t="shared" si="9"/>
        <v>2.5942440210782205E-2</v>
      </c>
      <c r="P24" s="5">
        <f t="shared" si="10"/>
        <v>4.581049334377435E-2</v>
      </c>
      <c r="Q24" s="5">
        <f t="shared" si="11"/>
        <v>0.10749535815498876</v>
      </c>
      <c r="R24" s="5">
        <f t="shared" si="12"/>
        <v>9.5556617295747839E-2</v>
      </c>
      <c r="S24" s="5">
        <f t="shared" si="12"/>
        <v>5.1728586171310695E-2</v>
      </c>
    </row>
    <row r="25" spans="1:19">
      <c r="A25" s="1">
        <v>39966</v>
      </c>
      <c r="B25" s="3">
        <f t="shared" si="3"/>
        <v>5.0473506200676477</v>
      </c>
      <c r="C25" s="3">
        <f t="shared" si="4"/>
        <v>3.9330410522120358</v>
      </c>
      <c r="D25" s="3">
        <f t="shared" si="5"/>
        <v>4.0347551342812027</v>
      </c>
      <c r="E25" s="3">
        <f t="shared" si="6"/>
        <v>3.2977763454721245</v>
      </c>
      <c r="F25" s="3">
        <f t="shared" si="7"/>
        <v>2.5828877005347626</v>
      </c>
      <c r="G25" s="3">
        <f t="shared" si="8"/>
        <v>1.9271597265382225</v>
      </c>
      <c r="H25" s="2">
        <v>89.54</v>
      </c>
      <c r="I25" s="2">
        <v>98.68</v>
      </c>
      <c r="J25" s="2">
        <v>76.62</v>
      </c>
      <c r="K25" s="2">
        <v>102.33</v>
      </c>
      <c r="L25" s="2">
        <v>62.79</v>
      </c>
      <c r="M25" s="4">
        <v>155.04</v>
      </c>
      <c r="N25" s="5">
        <f t="shared" si="1"/>
        <v>-2.0671552006999896E-2</v>
      </c>
      <c r="O25" s="5">
        <f t="shared" si="9"/>
        <v>3.4598448312015216E-2</v>
      </c>
      <c r="P25" s="5">
        <f t="shared" si="10"/>
        <v>1.121816022172375E-2</v>
      </c>
      <c r="Q25" s="5">
        <f t="shared" si="11"/>
        <v>2.4837255883825779E-2</v>
      </c>
      <c r="R25" s="5">
        <f t="shared" si="12"/>
        <v>-7.7433628318584382E-3</v>
      </c>
      <c r="S25" s="5">
        <f t="shared" si="12"/>
        <v>-1.3363879343260752E-2</v>
      </c>
    </row>
    <row r="26" spans="1:19">
      <c r="A26" s="1">
        <v>39933</v>
      </c>
      <c r="B26" s="3">
        <f t="shared" si="3"/>
        <v>5.1538895152198458</v>
      </c>
      <c r="C26" s="3">
        <f t="shared" si="4"/>
        <v>3.8015145476285359</v>
      </c>
      <c r="D26" s="3">
        <f t="shared" si="5"/>
        <v>3.9899947340705646</v>
      </c>
      <c r="E26" s="3">
        <f t="shared" si="6"/>
        <v>3.2178536899774421</v>
      </c>
      <c r="F26" s="3">
        <f t="shared" si="7"/>
        <v>2.6030440148087237</v>
      </c>
      <c r="G26" s="3">
        <f t="shared" si="8"/>
        <v>1.9532628962088254</v>
      </c>
      <c r="H26" s="2">
        <v>91.43</v>
      </c>
      <c r="I26" s="2">
        <v>95.38</v>
      </c>
      <c r="J26" s="2">
        <v>75.77</v>
      </c>
      <c r="K26" s="2">
        <v>99.85</v>
      </c>
      <c r="L26" s="2">
        <v>63.28</v>
      </c>
      <c r="M26" s="4">
        <v>157.13999999999999</v>
      </c>
      <c r="N26" s="5">
        <f t="shared" si="1"/>
        <v>4.5392179281957622E-2</v>
      </c>
      <c r="O26" s="5">
        <f t="shared" si="9"/>
        <v>8.8812785388127868E-2</v>
      </c>
      <c r="P26" s="5">
        <f t="shared" si="10"/>
        <v>7.2469922151450678E-2</v>
      </c>
      <c r="Q26" s="5">
        <f t="shared" si="11"/>
        <v>7.957617039679965E-2</v>
      </c>
      <c r="R26" s="5">
        <f t="shared" si="12"/>
        <v>8.5606450506090268E-2</v>
      </c>
      <c r="S26" s="5">
        <f t="shared" si="12"/>
        <v>2.3579989577905001E-2</v>
      </c>
    </row>
    <row r="27" spans="1:19">
      <c r="A27" s="1">
        <v>39903</v>
      </c>
      <c r="B27" s="3">
        <f t="shared" si="3"/>
        <v>4.9301014656144337</v>
      </c>
      <c r="C27" s="3">
        <f t="shared" si="4"/>
        <v>3.4914308489438013</v>
      </c>
      <c r="D27" s="3">
        <f t="shared" si="5"/>
        <v>3.7203791469194329</v>
      </c>
      <c r="E27" s="3">
        <f t="shared" si="6"/>
        <v>2.9806638736706423</v>
      </c>
      <c r="F27" s="3">
        <f t="shared" si="7"/>
        <v>2.3977786918963417</v>
      </c>
      <c r="G27" s="3">
        <f t="shared" si="8"/>
        <v>1.9082660037290247</v>
      </c>
      <c r="H27" s="2">
        <v>87.46</v>
      </c>
      <c r="I27" s="2">
        <v>87.6</v>
      </c>
      <c r="J27" s="2">
        <v>70.650000000000006</v>
      </c>
      <c r="K27" s="2">
        <v>92.49</v>
      </c>
      <c r="L27" s="2">
        <v>58.29</v>
      </c>
      <c r="M27" s="4">
        <v>153.52000000000001</v>
      </c>
      <c r="N27" s="5">
        <f t="shared" si="1"/>
        <v>-2.2902468997877456E-2</v>
      </c>
      <c r="O27" s="5">
        <f t="shared" si="9"/>
        <v>6.4786678011425777E-2</v>
      </c>
      <c r="P27" s="5">
        <f t="shared" si="10"/>
        <v>-2.4036469125569761E-2</v>
      </c>
      <c r="Q27" s="5">
        <f t="shared" si="11"/>
        <v>2.6640026640026543E-2</v>
      </c>
      <c r="R27" s="5">
        <f t="shared" si="12"/>
        <v>5.3878141384921294E-2</v>
      </c>
      <c r="S27" s="5">
        <f t="shared" si="12"/>
        <v>1.925375116186433E-2</v>
      </c>
    </row>
    <row r="28" spans="1:19">
      <c r="A28" s="1">
        <v>39872</v>
      </c>
      <c r="B28" s="3">
        <f t="shared" si="3"/>
        <v>5.0456595264938029</v>
      </c>
      <c r="C28" s="3">
        <f t="shared" si="4"/>
        <v>3.2789956157831801</v>
      </c>
      <c r="D28" s="3">
        <f t="shared" si="5"/>
        <v>3.8120063191153255</v>
      </c>
      <c r="E28" s="3">
        <f t="shared" si="6"/>
        <v>2.9033193683532077</v>
      </c>
      <c r="F28" s="3">
        <f t="shared" si="7"/>
        <v>2.2751953928424546</v>
      </c>
      <c r="G28" s="3">
        <f t="shared" si="8"/>
        <v>1.8722187694220018</v>
      </c>
      <c r="H28" s="2">
        <v>89.51</v>
      </c>
      <c r="I28" s="2">
        <v>82.27</v>
      </c>
      <c r="J28" s="2">
        <v>72.39</v>
      </c>
      <c r="K28" s="2">
        <v>90.09</v>
      </c>
      <c r="L28" s="2">
        <v>55.31</v>
      </c>
      <c r="M28" s="4">
        <v>150.62</v>
      </c>
      <c r="N28" s="5">
        <f t="shared" si="1"/>
        <v>3.1815561959654237E-2</v>
      </c>
      <c r="O28" s="5">
        <f t="shared" si="9"/>
        <v>0.11628222523744902</v>
      </c>
      <c r="P28" s="5">
        <f t="shared" si="10"/>
        <v>7.4832962138084727E-2</v>
      </c>
      <c r="Q28" s="5">
        <f t="shared" si="11"/>
        <v>9.6785975164353583E-2</v>
      </c>
      <c r="R28" s="5">
        <f t="shared" si="12"/>
        <v>7.7327619789637689E-2</v>
      </c>
      <c r="S28" s="5">
        <f t="shared" si="12"/>
        <v>3.7971194266418512E-2</v>
      </c>
    </row>
    <row r="29" spans="1:19">
      <c r="A29" s="1">
        <v>39844</v>
      </c>
      <c r="B29" s="3">
        <f t="shared" si="3"/>
        <v>4.8900789177001158</v>
      </c>
      <c r="C29" s="3">
        <f t="shared" si="4"/>
        <v>2.9374252690314862</v>
      </c>
      <c r="D29" s="3">
        <f t="shared" si="5"/>
        <v>3.5466034755134292</v>
      </c>
      <c r="E29" s="3">
        <f t="shared" si="6"/>
        <v>2.6471156944892047</v>
      </c>
      <c r="F29" s="3">
        <f t="shared" si="7"/>
        <v>2.1118881118881148</v>
      </c>
      <c r="G29" s="3">
        <f t="shared" si="8"/>
        <v>1.8037290242386583</v>
      </c>
      <c r="H29" s="2">
        <v>86.75</v>
      </c>
      <c r="I29" s="2">
        <v>73.7</v>
      </c>
      <c r="J29" s="2">
        <v>67.349999999999994</v>
      </c>
      <c r="K29" s="2">
        <v>82.14</v>
      </c>
      <c r="L29" s="2">
        <v>51.34</v>
      </c>
      <c r="M29" s="4">
        <v>145.11000000000001</v>
      </c>
      <c r="N29" s="5">
        <f t="shared" si="1"/>
        <v>4.0167865707433983E-2</v>
      </c>
      <c r="O29" s="5">
        <f t="shared" si="9"/>
        <v>4.7767984077338628E-2</v>
      </c>
      <c r="P29" s="5">
        <f t="shared" si="10"/>
        <v>3.3292420988032943E-2</v>
      </c>
      <c r="Q29" s="5">
        <f t="shared" si="11"/>
        <v>2.64933766558361E-2</v>
      </c>
      <c r="R29" s="5">
        <f t="shared" si="12"/>
        <v>3.5916061339790174E-2</v>
      </c>
      <c r="S29" s="5">
        <f t="shared" si="12"/>
        <v>1.2701514411333811E-2</v>
      </c>
    </row>
    <row r="30" spans="1:19">
      <c r="A30" s="1">
        <v>39814</v>
      </c>
      <c r="B30" s="3">
        <f t="shared" si="3"/>
        <v>4.7012401352874891</v>
      </c>
      <c r="C30" s="3">
        <f t="shared" si="4"/>
        <v>2.8035073734555596</v>
      </c>
      <c r="D30" s="3">
        <f t="shared" si="5"/>
        <v>3.4323328067403911</v>
      </c>
      <c r="E30" s="3">
        <f t="shared" si="6"/>
        <v>2.5787947147921368</v>
      </c>
      <c r="F30" s="3">
        <f t="shared" si="7"/>
        <v>2.038667215137806</v>
      </c>
      <c r="G30" s="3">
        <f t="shared" si="8"/>
        <v>1.7811062771908022</v>
      </c>
      <c r="H30" s="2">
        <v>83.4</v>
      </c>
      <c r="I30" s="2">
        <v>70.34</v>
      </c>
      <c r="J30" s="2">
        <v>65.180000000000007</v>
      </c>
      <c r="K30" s="2">
        <v>80.02</v>
      </c>
      <c r="L30" s="2">
        <v>49.56</v>
      </c>
      <c r="M30" s="4">
        <v>143.29</v>
      </c>
      <c r="N30" s="5">
        <f t="shared" si="1"/>
        <v>6.77250032006146E-2</v>
      </c>
      <c r="O30" s="5">
        <f t="shared" si="9"/>
        <v>-1.9788182831661116E-2</v>
      </c>
      <c r="P30" s="5">
        <f t="shared" si="10"/>
        <v>7.5222698779280922E-2</v>
      </c>
      <c r="Q30" s="5">
        <f t="shared" si="11"/>
        <v>-5.8698976590989396E-2</v>
      </c>
      <c r="R30" s="5">
        <f t="shared" si="12"/>
        <v>-8.4764542936288018E-2</v>
      </c>
      <c r="S30" s="5">
        <f t="shared" si="12"/>
        <v>5.1206808011150975E-2</v>
      </c>
    </row>
    <row r="31" spans="1:19">
      <c r="A31" s="1">
        <v>39784</v>
      </c>
      <c r="B31" s="3">
        <f t="shared" si="3"/>
        <v>4.4030439684329226</v>
      </c>
      <c r="C31" s="3">
        <f t="shared" si="4"/>
        <v>2.8601036269430047</v>
      </c>
      <c r="D31" s="3">
        <f t="shared" si="5"/>
        <v>3.192206424433913</v>
      </c>
      <c r="E31" s="3">
        <f t="shared" si="6"/>
        <v>2.7396068320979703</v>
      </c>
      <c r="F31" s="3">
        <f t="shared" si="7"/>
        <v>2.2274784039489948</v>
      </c>
      <c r="G31" s="3">
        <f t="shared" si="8"/>
        <v>1.6943443132380367</v>
      </c>
      <c r="H31" s="2">
        <v>78.11</v>
      </c>
      <c r="I31" s="2">
        <v>71.760000000000005</v>
      </c>
      <c r="J31" s="2">
        <v>60.62</v>
      </c>
      <c r="K31" s="2">
        <v>85.01</v>
      </c>
      <c r="L31" s="2">
        <v>54.15</v>
      </c>
      <c r="M31" s="4">
        <v>136.31</v>
      </c>
      <c r="N31" s="5">
        <f t="shared" si="1"/>
        <v>2.3722149410222836E-2</v>
      </c>
      <c r="O31" s="5">
        <f t="shared" si="9"/>
        <v>1.4562420472218311E-2</v>
      </c>
      <c r="P31" s="5">
        <f t="shared" si="10"/>
        <v>3.4824172072379637E-2</v>
      </c>
      <c r="Q31" s="5">
        <f t="shared" si="11"/>
        <v>-1.0821503374447204E-2</v>
      </c>
      <c r="R31" s="5">
        <f t="shared" si="12"/>
        <v>1.632882882882878E-2</v>
      </c>
      <c r="S31" s="5">
        <f t="shared" si="12"/>
        <v>8.9563286454478752E-3</v>
      </c>
    </row>
    <row r="32" spans="1:19">
      <c r="A32" s="1">
        <v>39752</v>
      </c>
      <c r="B32" s="3">
        <f t="shared" si="3"/>
        <v>4.301014656144309</v>
      </c>
      <c r="C32" s="3">
        <f t="shared" si="4"/>
        <v>2.8190514149063364</v>
      </c>
      <c r="D32" s="3">
        <f t="shared" si="5"/>
        <v>3.0847814639283837</v>
      </c>
      <c r="E32" s="3">
        <f t="shared" si="6"/>
        <v>2.769577827908476</v>
      </c>
      <c r="F32" s="3">
        <f t="shared" si="7"/>
        <v>2.1916906622789001</v>
      </c>
      <c r="G32" s="3">
        <f t="shared" si="8"/>
        <v>1.679303915475451</v>
      </c>
      <c r="H32" s="2">
        <v>76.3</v>
      </c>
      <c r="I32" s="2">
        <v>70.73</v>
      </c>
      <c r="J32" s="2">
        <v>58.58</v>
      </c>
      <c r="K32" s="2">
        <v>85.94</v>
      </c>
      <c r="L32" s="2">
        <v>53.28</v>
      </c>
      <c r="M32" s="4">
        <v>135.1</v>
      </c>
      <c r="N32" s="5">
        <f t="shared" si="1"/>
        <v>3.2196969696969634E-2</v>
      </c>
      <c r="O32" s="5">
        <f t="shared" si="9"/>
        <v>6.0896955152242423E-2</v>
      </c>
      <c r="P32" s="5">
        <f t="shared" si="10"/>
        <v>8.4351867791357359E-3</v>
      </c>
      <c r="Q32" s="5">
        <f t="shared" si="11"/>
        <v>8.4487209575216955E-3</v>
      </c>
      <c r="R32" s="5">
        <f t="shared" si="12"/>
        <v>1.0047393364928931E-2</v>
      </c>
      <c r="S32" s="5">
        <f t="shared" si="12"/>
        <v>5.6572874795294843E-3</v>
      </c>
    </row>
    <row r="33" spans="1:19">
      <c r="A33" s="1">
        <v>39721</v>
      </c>
      <c r="B33" s="3">
        <f t="shared" si="3"/>
        <v>4.1668545659526517</v>
      </c>
      <c r="C33" s="3">
        <f t="shared" si="4"/>
        <v>2.6572339577520916</v>
      </c>
      <c r="D33" s="3">
        <f t="shared" si="5"/>
        <v>3.0589784096893111</v>
      </c>
      <c r="E33" s="3">
        <f t="shared" si="6"/>
        <v>2.7463744763132456</v>
      </c>
      <c r="F33" s="3">
        <f t="shared" si="7"/>
        <v>2.1698889345948191</v>
      </c>
      <c r="G33" s="3">
        <f t="shared" si="8"/>
        <v>1.6698570540708519</v>
      </c>
      <c r="H33" s="2">
        <v>73.92</v>
      </c>
      <c r="I33" s="2">
        <v>66.67</v>
      </c>
      <c r="J33" s="2">
        <v>58.09</v>
      </c>
      <c r="K33" s="2">
        <v>85.22</v>
      </c>
      <c r="L33" s="2">
        <v>52.75</v>
      </c>
      <c r="M33" s="4">
        <v>134.34</v>
      </c>
      <c r="N33" s="5">
        <f t="shared" si="1"/>
        <v>-1.6207455429498182E-3</v>
      </c>
      <c r="O33" s="5">
        <f t="shared" si="9"/>
        <v>1.2145134355548764E-2</v>
      </c>
      <c r="P33" s="5">
        <f t="shared" si="10"/>
        <v>2.4876499647141913E-2</v>
      </c>
      <c r="Q33" s="5">
        <f t="shared" si="11"/>
        <v>3.060263653484053E-3</v>
      </c>
      <c r="R33" s="5">
        <f t="shared" si="12"/>
        <v>-1.7032551097653937E-3</v>
      </c>
      <c r="S33" s="5">
        <f t="shared" si="12"/>
        <v>-1.81977636483228E-2</v>
      </c>
    </row>
    <row r="34" spans="1:19">
      <c r="A34" s="1">
        <v>39694</v>
      </c>
      <c r="B34" s="3">
        <f t="shared" si="3"/>
        <v>4.173618940248029</v>
      </c>
      <c r="C34" s="3">
        <f t="shared" si="4"/>
        <v>2.6253487445197283</v>
      </c>
      <c r="D34" s="3">
        <f t="shared" si="5"/>
        <v>2.9847288046340186</v>
      </c>
      <c r="E34" s="3">
        <f t="shared" si="6"/>
        <v>2.73799548823719</v>
      </c>
      <c r="F34" s="3">
        <f t="shared" si="7"/>
        <v>2.1735911147675879</v>
      </c>
      <c r="G34" s="3">
        <f t="shared" si="8"/>
        <v>1.7008079552517097</v>
      </c>
      <c r="H34" s="2">
        <v>74.040000000000006</v>
      </c>
      <c r="I34" s="2">
        <v>65.87</v>
      </c>
      <c r="J34" s="2">
        <v>56.68</v>
      </c>
      <c r="K34" s="2">
        <v>84.96</v>
      </c>
      <c r="L34" s="2">
        <v>52.84</v>
      </c>
      <c r="M34" s="4">
        <v>136.83000000000001</v>
      </c>
      <c r="N34" s="5">
        <f t="shared" si="1"/>
        <v>-1.9597457627118509E-2</v>
      </c>
      <c r="O34" s="5">
        <f t="shared" si="9"/>
        <v>-2.5159094272606021E-2</v>
      </c>
      <c r="P34" s="5">
        <f t="shared" si="10"/>
        <v>2.2366522366522402E-2</v>
      </c>
      <c r="Q34" s="5">
        <f t="shared" si="11"/>
        <v>2.4602026049203956E-2</v>
      </c>
      <c r="R34" s="5">
        <f t="shared" si="12"/>
        <v>1.12918660287082E-2</v>
      </c>
      <c r="S34" s="5">
        <f t="shared" si="12"/>
        <v>2.5327838141626258E-2</v>
      </c>
    </row>
    <row r="35" spans="1:19">
      <c r="A35" s="1">
        <v>39660</v>
      </c>
      <c r="B35" s="3">
        <f t="shared" si="3"/>
        <v>4.2570462232243536</v>
      </c>
      <c r="C35" s="3">
        <f t="shared" si="4"/>
        <v>2.6931048226385004</v>
      </c>
      <c r="D35" s="3">
        <f t="shared" si="5"/>
        <v>2.9194312796208539</v>
      </c>
      <c r="E35" s="3">
        <f t="shared" si="6"/>
        <v>2.6722526587173707</v>
      </c>
      <c r="F35" s="3">
        <f t="shared" si="7"/>
        <v>2.1493212669683279</v>
      </c>
      <c r="G35" s="3">
        <f t="shared" si="8"/>
        <v>1.6587942821628343</v>
      </c>
      <c r="H35" s="2">
        <v>75.52</v>
      </c>
      <c r="I35" s="2">
        <v>67.569999999999993</v>
      </c>
      <c r="J35" s="2">
        <v>55.44</v>
      </c>
      <c r="K35" s="2">
        <v>82.92</v>
      </c>
      <c r="L35" s="2">
        <v>52.25</v>
      </c>
      <c r="M35" s="4">
        <v>133.44999999999999</v>
      </c>
      <c r="N35" s="5">
        <f t="shared" ref="N35:N66" si="13">(H35-H36)/H36</f>
        <v>8.0091533180777955E-2</v>
      </c>
      <c r="O35" s="5">
        <f t="shared" si="9"/>
        <v>-2.8189270818351906E-2</v>
      </c>
      <c r="P35" s="5">
        <f t="shared" si="10"/>
        <v>1.3343081703527633E-2</v>
      </c>
      <c r="Q35" s="5">
        <f t="shared" si="11"/>
        <v>3.2242001742810951E-2</v>
      </c>
      <c r="R35" s="5">
        <f t="shared" si="12"/>
        <v>1.8717098849678315E-2</v>
      </c>
      <c r="S35" s="5">
        <f t="shared" si="12"/>
        <v>2.5040325677855371E-2</v>
      </c>
    </row>
    <row r="36" spans="1:19">
      <c r="A36" s="1">
        <v>39630</v>
      </c>
      <c r="B36" s="3">
        <f t="shared" ref="B36:B67" si="14">B37*(1+N36)</f>
        <v>3.9413754227733957</v>
      </c>
      <c r="C36" s="3">
        <f t="shared" ref="C36:C67" si="15">C37*(1+O36)</f>
        <v>2.771223595057791</v>
      </c>
      <c r="D36" s="3">
        <f t="shared" ref="D36:D67" si="16">D37*(1+P36)</f>
        <v>2.8809899947340716</v>
      </c>
      <c r="E36" s="3">
        <f t="shared" ref="E36:E67" si="17">E37*(1+Q36)</f>
        <v>2.5887850467289724</v>
      </c>
      <c r="F36" s="3">
        <f t="shared" ref="F36:F67" si="18">F37*(1+R36)</f>
        <v>2.1098313451254649</v>
      </c>
      <c r="G36" s="3">
        <f t="shared" si="8"/>
        <v>1.6182722187694225</v>
      </c>
      <c r="H36" s="2">
        <v>69.92</v>
      </c>
      <c r="I36" s="2">
        <v>69.53</v>
      </c>
      <c r="J36" s="2">
        <v>54.71</v>
      </c>
      <c r="K36" s="2">
        <v>80.33</v>
      </c>
      <c r="L36" s="2">
        <v>51.29</v>
      </c>
      <c r="M36" s="4">
        <v>130.19</v>
      </c>
      <c r="N36" s="5">
        <f t="shared" si="13"/>
        <v>-1.4378347899633437E-2</v>
      </c>
      <c r="O36" s="5">
        <f t="shared" si="9"/>
        <v>-5.293276108726817E-3</v>
      </c>
      <c r="P36" s="5">
        <f t="shared" si="10"/>
        <v>3.9521185635569035E-2</v>
      </c>
      <c r="Q36" s="5">
        <f t="shared" si="11"/>
        <v>2.5140377743746795E-2</v>
      </c>
      <c r="R36" s="5">
        <f t="shared" si="12"/>
        <v>-1.0800385728061759E-2</v>
      </c>
      <c r="S36" s="5">
        <f t="shared" si="12"/>
        <v>1.1891807865692532E-2</v>
      </c>
    </row>
    <row r="37" spans="1:19">
      <c r="A37" s="1">
        <v>39599</v>
      </c>
      <c r="B37" s="3">
        <f t="shared" si="14"/>
        <v>3.9988726042841058</v>
      </c>
      <c r="C37" s="3">
        <f t="shared" si="15"/>
        <v>2.7859705061777591</v>
      </c>
      <c r="D37" s="3">
        <f t="shared" si="16"/>
        <v>2.7714586624539241</v>
      </c>
      <c r="E37" s="3">
        <f t="shared" si="17"/>
        <v>2.5252980986142446</v>
      </c>
      <c r="F37" s="3">
        <f t="shared" si="18"/>
        <v>2.1328671328671351</v>
      </c>
      <c r="G37" s="3">
        <f t="shared" si="8"/>
        <v>1.5992541951522692</v>
      </c>
      <c r="H37" s="2">
        <v>70.94</v>
      </c>
      <c r="I37" s="2">
        <v>69.900000000000006</v>
      </c>
      <c r="J37" s="2">
        <v>52.63</v>
      </c>
      <c r="K37" s="2">
        <v>78.36</v>
      </c>
      <c r="L37" s="2">
        <v>51.85</v>
      </c>
      <c r="M37" s="4">
        <v>128.66</v>
      </c>
      <c r="N37" s="5">
        <f t="shared" si="13"/>
        <v>1.9106450222669134E-2</v>
      </c>
      <c r="O37" s="5">
        <f t="shared" si="9"/>
        <v>6.7338524965643784E-2</v>
      </c>
      <c r="P37" s="5">
        <f t="shared" si="10"/>
        <v>3.2405642394205433E-3</v>
      </c>
      <c r="Q37" s="5">
        <f t="shared" si="11"/>
        <v>5.1670916655482409E-2</v>
      </c>
      <c r="R37" s="5">
        <f t="shared" si="12"/>
        <v>0.12448492734764698</v>
      </c>
      <c r="S37" s="5">
        <f t="shared" si="12"/>
        <v>4.0517589971694225E-2</v>
      </c>
    </row>
    <row r="38" spans="1:19">
      <c r="A38" s="1">
        <v>39568</v>
      </c>
      <c r="B38" s="3">
        <f t="shared" si="14"/>
        <v>3.923900789177003</v>
      </c>
      <c r="C38" s="3">
        <f t="shared" si="15"/>
        <v>2.610203268234355</v>
      </c>
      <c r="D38" s="3">
        <f t="shared" si="16"/>
        <v>2.7625065824117963</v>
      </c>
      <c r="E38" s="3">
        <f t="shared" si="17"/>
        <v>2.401224621334193</v>
      </c>
      <c r="F38" s="3">
        <f t="shared" si="18"/>
        <v>1.8967503085150164</v>
      </c>
      <c r="G38" s="3">
        <f t="shared" si="8"/>
        <v>1.536979490366688</v>
      </c>
      <c r="H38" s="2">
        <v>69.61</v>
      </c>
      <c r="I38" s="2">
        <v>65.489999999999995</v>
      </c>
      <c r="J38" s="2">
        <v>52.46</v>
      </c>
      <c r="K38" s="2">
        <v>74.510000000000005</v>
      </c>
      <c r="L38" s="2">
        <v>46.11</v>
      </c>
      <c r="M38" s="4">
        <v>123.65</v>
      </c>
      <c r="N38" s="5">
        <f t="shared" si="13"/>
        <v>-8.6482939632545969E-2</v>
      </c>
      <c r="O38" s="5">
        <f t="shared" si="9"/>
        <v>-8.826395656410975E-2</v>
      </c>
      <c r="P38" s="5">
        <f t="shared" si="10"/>
        <v>-7.6408450704225292E-2</v>
      </c>
      <c r="Q38" s="5">
        <f t="shared" si="11"/>
        <v>-7.4409937888198691E-2</v>
      </c>
      <c r="R38" s="5">
        <f t="shared" si="12"/>
        <v>-7.0550292279782309E-2</v>
      </c>
      <c r="S38" s="5">
        <f t="shared" si="12"/>
        <v>-6.0053211706575488E-2</v>
      </c>
    </row>
    <row r="39" spans="1:19">
      <c r="A39" s="1">
        <v>39539</v>
      </c>
      <c r="B39" s="3">
        <f t="shared" si="14"/>
        <v>4.2953776775648276</v>
      </c>
      <c r="C39" s="3">
        <f t="shared" si="15"/>
        <v>2.8628935831008357</v>
      </c>
      <c r="D39" s="3">
        <f t="shared" si="16"/>
        <v>2.991047919957873</v>
      </c>
      <c r="E39" s="3">
        <f t="shared" si="17"/>
        <v>2.5942636158556236</v>
      </c>
      <c r="F39" s="3">
        <f t="shared" si="18"/>
        <v>2.0407239819004546</v>
      </c>
      <c r="G39" s="3">
        <f t="shared" si="8"/>
        <v>1.635177128651337</v>
      </c>
      <c r="H39" s="2">
        <v>76.2</v>
      </c>
      <c r="I39" s="2">
        <v>71.83</v>
      </c>
      <c r="J39" s="2">
        <v>56.8</v>
      </c>
      <c r="K39" s="2">
        <v>80.5</v>
      </c>
      <c r="L39" s="2">
        <v>49.61</v>
      </c>
      <c r="M39" s="4">
        <v>131.55000000000001</v>
      </c>
      <c r="N39" s="5">
        <f t="shared" si="13"/>
        <v>-1.5631055419196405E-2</v>
      </c>
      <c r="O39" s="5">
        <f t="shared" si="9"/>
        <v>3.2633697527314487E-2</v>
      </c>
      <c r="P39" s="5">
        <f t="shared" si="10"/>
        <v>-6.4719258352283456E-3</v>
      </c>
      <c r="Q39" s="5">
        <f t="shared" si="11"/>
        <v>7.5093867334166996E-3</v>
      </c>
      <c r="R39" s="5">
        <f t="shared" si="12"/>
        <v>3.569937369519835E-2</v>
      </c>
      <c r="S39" s="5">
        <f t="shared" si="12"/>
        <v>-6.6450200105715885E-3</v>
      </c>
    </row>
    <row r="40" spans="1:19">
      <c r="A40" s="1">
        <v>39507</v>
      </c>
      <c r="B40" s="3">
        <f t="shared" si="14"/>
        <v>4.3635851183765526</v>
      </c>
      <c r="C40" s="3">
        <f t="shared" si="15"/>
        <v>2.7724192905540046</v>
      </c>
      <c r="D40" s="3">
        <f t="shared" si="16"/>
        <v>3.010531858873092</v>
      </c>
      <c r="E40" s="3">
        <f t="shared" si="17"/>
        <v>2.5749274895262655</v>
      </c>
      <c r="F40" s="3">
        <f t="shared" si="18"/>
        <v>1.9703825586178549</v>
      </c>
      <c r="G40" s="3">
        <f t="shared" si="8"/>
        <v>1.646115599751399</v>
      </c>
      <c r="H40" s="2">
        <v>77.41</v>
      </c>
      <c r="I40" s="2">
        <v>69.56</v>
      </c>
      <c r="J40" s="2">
        <v>57.17</v>
      </c>
      <c r="K40" s="2">
        <v>79.900000000000006</v>
      </c>
      <c r="L40" s="2">
        <v>47.9</v>
      </c>
      <c r="M40" s="4">
        <v>132.43</v>
      </c>
      <c r="N40" s="5">
        <f t="shared" si="13"/>
        <v>-1.1113949923352127E-2</v>
      </c>
      <c r="O40" s="5">
        <f t="shared" si="9"/>
        <v>-7.7032810271040241E-3</v>
      </c>
      <c r="P40" s="5">
        <f t="shared" si="10"/>
        <v>2.4919325923269998E-2</v>
      </c>
      <c r="Q40" s="5">
        <f t="shared" si="11"/>
        <v>1.6410125938175885E-2</v>
      </c>
      <c r="R40" s="5">
        <f t="shared" si="12"/>
        <v>4.4711014176662969E-2</v>
      </c>
      <c r="S40" s="5">
        <f t="shared" si="12"/>
        <v>3.2190179267342127E-2</v>
      </c>
    </row>
    <row r="41" spans="1:19">
      <c r="A41" s="1">
        <v>39478</v>
      </c>
      <c r="B41" s="3">
        <f t="shared" si="14"/>
        <v>4.4126268320180406</v>
      </c>
      <c r="C41" s="3">
        <f t="shared" si="15"/>
        <v>2.7939418094858497</v>
      </c>
      <c r="D41" s="3">
        <f t="shared" si="16"/>
        <v>2.9373354397051088</v>
      </c>
      <c r="E41" s="3">
        <f t="shared" si="17"/>
        <v>2.533354817918144</v>
      </c>
      <c r="F41" s="3">
        <f t="shared" si="18"/>
        <v>1.8860551213492414</v>
      </c>
      <c r="G41" s="3">
        <f t="shared" si="8"/>
        <v>1.5947793660658802</v>
      </c>
      <c r="H41" s="2">
        <v>78.28</v>
      </c>
      <c r="I41" s="2">
        <v>70.099999999999994</v>
      </c>
      <c r="J41" s="2">
        <v>55.78</v>
      </c>
      <c r="K41" s="2">
        <v>78.61</v>
      </c>
      <c r="L41" s="2">
        <v>45.85</v>
      </c>
      <c r="M41" s="4">
        <v>128.30000000000001</v>
      </c>
      <c r="N41" s="5">
        <f t="shared" si="13"/>
        <v>7.6605693852290033E-2</v>
      </c>
      <c r="O41" s="5">
        <f t="shared" si="9"/>
        <v>1.6383935044222059E-2</v>
      </c>
      <c r="P41" s="5">
        <f t="shared" si="10"/>
        <v>3.2771708942788434E-2</v>
      </c>
      <c r="Q41" s="5">
        <f t="shared" si="11"/>
        <v>8.607350096711805E-2</v>
      </c>
      <c r="R41" s="5">
        <f t="shared" si="12"/>
        <v>5.2571166207529822E-2</v>
      </c>
      <c r="S41" s="5">
        <f t="shared" si="12"/>
        <v>4.3343905017484044E-2</v>
      </c>
    </row>
    <row r="42" spans="1:19">
      <c r="A42" s="1">
        <v>39449</v>
      </c>
      <c r="B42" s="3">
        <f t="shared" si="14"/>
        <v>4.0986471251409258</v>
      </c>
      <c r="C42" s="3">
        <f t="shared" si="15"/>
        <v>2.7489039457951363</v>
      </c>
      <c r="D42" s="3">
        <f t="shared" si="16"/>
        <v>2.8441284886782525</v>
      </c>
      <c r="E42" s="3">
        <f t="shared" si="17"/>
        <v>2.3325813728649694</v>
      </c>
      <c r="F42" s="3">
        <f t="shared" si="18"/>
        <v>1.7918552036199116</v>
      </c>
      <c r="G42" s="3">
        <f t="shared" si="8"/>
        <v>1.528527035425731</v>
      </c>
      <c r="H42" s="2">
        <v>72.709999999999994</v>
      </c>
      <c r="I42" s="2">
        <v>68.97</v>
      </c>
      <c r="J42" s="2">
        <v>54.01</v>
      </c>
      <c r="K42" s="2">
        <v>72.38</v>
      </c>
      <c r="L42" s="2">
        <v>43.56</v>
      </c>
      <c r="M42" s="4">
        <v>122.97</v>
      </c>
      <c r="N42" s="5">
        <f t="shared" si="13"/>
        <v>7.194456730060439E-2</v>
      </c>
      <c r="O42" s="5">
        <f t="shared" si="9"/>
        <v>1.1290322580645102E-2</v>
      </c>
      <c r="P42" s="5">
        <f t="shared" si="10"/>
        <v>6.8024520466679811E-2</v>
      </c>
      <c r="Q42" s="5">
        <f t="shared" si="11"/>
        <v>1.7573457050470968E-2</v>
      </c>
      <c r="R42" s="5">
        <f t="shared" si="12"/>
        <v>-7.9708494648142638E-3</v>
      </c>
      <c r="S42" s="5">
        <f t="shared" si="12"/>
        <v>4.6375085091899276E-2</v>
      </c>
    </row>
    <row r="43" spans="1:19">
      <c r="A43" s="1">
        <v>39416</v>
      </c>
      <c r="B43" s="3">
        <f t="shared" si="14"/>
        <v>3.8235625704622329</v>
      </c>
      <c r="C43" s="3">
        <f t="shared" si="15"/>
        <v>2.7182144280589866</v>
      </c>
      <c r="D43" s="3">
        <f t="shared" si="16"/>
        <v>2.6629805160610855</v>
      </c>
      <c r="E43" s="3">
        <f t="shared" si="17"/>
        <v>2.2922977763454724</v>
      </c>
      <c r="F43" s="3">
        <f t="shared" si="18"/>
        <v>1.8062525709584552</v>
      </c>
      <c r="G43" s="3">
        <f t="shared" si="8"/>
        <v>1.4607830950901186</v>
      </c>
      <c r="H43" s="2">
        <v>67.83</v>
      </c>
      <c r="I43" s="2">
        <v>68.2</v>
      </c>
      <c r="J43" s="2">
        <v>50.57</v>
      </c>
      <c r="K43" s="2">
        <v>71.13</v>
      </c>
      <c r="L43" s="2">
        <v>43.91</v>
      </c>
      <c r="M43" s="4">
        <v>117.52</v>
      </c>
      <c r="N43" s="5">
        <f t="shared" si="13"/>
        <v>-4.585736390490934E-2</v>
      </c>
      <c r="O43" s="5">
        <f t="shared" si="9"/>
        <v>6.7793956474088077E-2</v>
      </c>
      <c r="P43" s="5">
        <f t="shared" si="10"/>
        <v>3.5721373288350807E-3</v>
      </c>
      <c r="Q43" s="5">
        <f t="shared" si="11"/>
        <v>3.5220491922573163E-2</v>
      </c>
      <c r="R43" s="5">
        <f t="shared" si="12"/>
        <v>7.0975609756097471E-2</v>
      </c>
      <c r="S43" s="5">
        <f t="shared" si="12"/>
        <v>1.0490111779879612E-2</v>
      </c>
    </row>
    <row r="44" spans="1:19">
      <c r="A44" s="1">
        <v>39386</v>
      </c>
      <c r="B44" s="3">
        <f t="shared" si="14"/>
        <v>4.0073280721533271</v>
      </c>
      <c r="C44" s="3">
        <f t="shared" si="15"/>
        <v>2.5456357114388188</v>
      </c>
      <c r="D44" s="3">
        <f t="shared" si="16"/>
        <v>2.6535018430753037</v>
      </c>
      <c r="E44" s="3">
        <f t="shared" si="17"/>
        <v>2.2143087334837257</v>
      </c>
      <c r="F44" s="3">
        <f t="shared" si="18"/>
        <v>1.6865487453722767</v>
      </c>
      <c r="G44" s="3">
        <f t="shared" si="8"/>
        <v>1.4456183965195779</v>
      </c>
      <c r="H44" s="2">
        <v>71.09</v>
      </c>
      <c r="I44" s="2">
        <v>63.87</v>
      </c>
      <c r="J44" s="2">
        <v>50.39</v>
      </c>
      <c r="K44" s="2">
        <v>68.709999999999994</v>
      </c>
      <c r="L44" s="2">
        <v>41</v>
      </c>
      <c r="M44" s="4">
        <v>116.3</v>
      </c>
      <c r="N44" s="5">
        <f t="shared" si="13"/>
        <v>-1.1678020297511516E-2</v>
      </c>
      <c r="O44" s="5">
        <f t="shared" si="9"/>
        <v>5.0839091806515239E-2</v>
      </c>
      <c r="P44" s="5">
        <f t="shared" si="10"/>
        <v>4.0470782572785483E-2</v>
      </c>
      <c r="Q44" s="5">
        <f t="shared" si="11"/>
        <v>4.2956891317547034E-2</v>
      </c>
      <c r="R44" s="5">
        <f t="shared" si="12"/>
        <v>3.1187122736418563E-2</v>
      </c>
      <c r="S44" s="5">
        <f t="shared" si="12"/>
        <v>-4.110292858366193E-3</v>
      </c>
    </row>
    <row r="45" spans="1:19">
      <c r="A45" s="1">
        <v>39357</v>
      </c>
      <c r="B45" s="3">
        <f t="shared" si="14"/>
        <v>4.0546786922209712</v>
      </c>
      <c r="C45" s="3">
        <f t="shared" si="15"/>
        <v>2.4224790753288152</v>
      </c>
      <c r="D45" s="3">
        <f t="shared" si="16"/>
        <v>2.5502896261190107</v>
      </c>
      <c r="E45" s="3">
        <f t="shared" si="17"/>
        <v>2.1231066709635837</v>
      </c>
      <c r="F45" s="3">
        <f t="shared" si="18"/>
        <v>1.6355409296585783</v>
      </c>
      <c r="G45" s="3">
        <f t="shared" si="8"/>
        <v>1.45158483530143</v>
      </c>
      <c r="H45" s="2">
        <v>71.930000000000007</v>
      </c>
      <c r="I45" s="2">
        <v>60.78</v>
      </c>
      <c r="J45" s="2">
        <v>48.43</v>
      </c>
      <c r="K45" s="2">
        <v>65.88</v>
      </c>
      <c r="L45" s="2">
        <v>39.76</v>
      </c>
      <c r="M45" s="4">
        <v>116.78</v>
      </c>
      <c r="N45" s="5">
        <f t="shared" si="13"/>
        <v>0.10832049306625578</v>
      </c>
      <c r="O45" s="5">
        <f t="shared" si="9"/>
        <v>8.7104274727240291E-2</v>
      </c>
      <c r="P45" s="5">
        <f t="shared" si="10"/>
        <v>0.19344504682109417</v>
      </c>
      <c r="Q45" s="5">
        <f t="shared" si="11"/>
        <v>4.4885011895321146E-2</v>
      </c>
      <c r="R45" s="5">
        <f t="shared" si="12"/>
        <v>9.2908191313908609E-2</v>
      </c>
      <c r="S45" s="5">
        <f t="shared" si="12"/>
        <v>0.10923252279635258</v>
      </c>
    </row>
    <row r="46" spans="1:19">
      <c r="A46" s="1">
        <v>39325</v>
      </c>
      <c r="B46" s="3">
        <f t="shared" si="14"/>
        <v>3.6583990980834287</v>
      </c>
      <c r="C46" s="3">
        <f t="shared" si="15"/>
        <v>2.2283778397768024</v>
      </c>
      <c r="D46" s="3">
        <f t="shared" si="16"/>
        <v>2.1369141653501846</v>
      </c>
      <c r="E46" s="3">
        <f t="shared" si="17"/>
        <v>2.0319046084434418</v>
      </c>
      <c r="F46" s="3">
        <f t="shared" si="18"/>
        <v>1.496503496503498</v>
      </c>
      <c r="G46" s="3">
        <f t="shared" si="8"/>
        <v>1.3086389061528905</v>
      </c>
      <c r="H46" s="2">
        <v>64.900000000000006</v>
      </c>
      <c r="I46" s="2">
        <v>55.91</v>
      </c>
      <c r="J46" s="2">
        <v>40.58</v>
      </c>
      <c r="K46" s="2">
        <v>63.05</v>
      </c>
      <c r="L46" s="2">
        <v>36.380000000000003</v>
      </c>
      <c r="M46" s="4">
        <v>105.28</v>
      </c>
      <c r="N46" s="5">
        <f t="shared" si="13"/>
        <v>-5.2416411154912974E-2</v>
      </c>
      <c r="O46" s="5">
        <f t="shared" si="9"/>
        <v>-9.4868058928282442E-2</v>
      </c>
      <c r="P46" s="5">
        <f t="shared" si="10"/>
        <v>-8.1484834766862871E-2</v>
      </c>
      <c r="Q46" s="5">
        <f t="shared" si="11"/>
        <v>-2.0810684888957966E-2</v>
      </c>
      <c r="R46" s="5">
        <f t="shared" si="12"/>
        <v>-5.4573804573804431E-2</v>
      </c>
      <c r="S46" s="5">
        <f t="shared" si="12"/>
        <v>-6.9471451299275233E-2</v>
      </c>
    </row>
    <row r="47" spans="1:19">
      <c r="A47" s="1">
        <v>39294</v>
      </c>
      <c r="B47" s="3">
        <f t="shared" si="14"/>
        <v>3.8607666290868106</v>
      </c>
      <c r="C47" s="3">
        <f t="shared" si="15"/>
        <v>2.4619370267038652</v>
      </c>
      <c r="D47" s="3">
        <f t="shared" si="16"/>
        <v>2.3264876250658246</v>
      </c>
      <c r="E47" s="3">
        <f t="shared" si="17"/>
        <v>2.0750886239123432</v>
      </c>
      <c r="F47" s="3">
        <f t="shared" si="18"/>
        <v>1.5828877005347608</v>
      </c>
      <c r="G47" s="3">
        <f t="shared" si="8"/>
        <v>1.4063393412057184</v>
      </c>
      <c r="H47" s="2">
        <v>68.489999999999995</v>
      </c>
      <c r="I47" s="2">
        <v>61.77</v>
      </c>
      <c r="J47" s="2">
        <v>44.18</v>
      </c>
      <c r="K47" s="2">
        <v>64.39</v>
      </c>
      <c r="L47" s="2">
        <v>38.479999999999997</v>
      </c>
      <c r="M47" s="4">
        <v>113.14</v>
      </c>
      <c r="N47" s="5">
        <f t="shared" si="13"/>
        <v>-9.7747332367277062E-2</v>
      </c>
      <c r="O47" s="5">
        <f t="shared" si="9"/>
        <v>-4.4843049327354237E-2</v>
      </c>
      <c r="P47" s="5">
        <f t="shared" si="10"/>
        <v>-9.318555008210179E-2</v>
      </c>
      <c r="Q47" s="5">
        <f t="shared" si="11"/>
        <v>-1.0298186289578876E-2</v>
      </c>
      <c r="R47" s="5">
        <f t="shared" si="12"/>
        <v>-3.3651431441486773E-2</v>
      </c>
      <c r="S47" s="5">
        <f t="shared" si="12"/>
        <v>-5.4961577013030394E-2</v>
      </c>
    </row>
    <row r="48" spans="1:19">
      <c r="A48" s="1">
        <v>39263</v>
      </c>
      <c r="B48" s="3">
        <f t="shared" si="14"/>
        <v>4.2790304396843304</v>
      </c>
      <c r="C48" s="3">
        <f t="shared" si="15"/>
        <v>2.577520924671183</v>
      </c>
      <c r="D48" s="3">
        <f t="shared" si="16"/>
        <v>2.5655608214849925</v>
      </c>
      <c r="E48" s="3">
        <f t="shared" si="17"/>
        <v>2.0966806316467936</v>
      </c>
      <c r="F48" s="3">
        <f t="shared" si="18"/>
        <v>1.6380090497737572</v>
      </c>
      <c r="G48" s="3">
        <f t="shared" si="8"/>
        <v>1.488129272840274</v>
      </c>
      <c r="H48" s="2">
        <v>75.91</v>
      </c>
      <c r="I48" s="2">
        <v>64.67</v>
      </c>
      <c r="J48" s="2">
        <v>48.72</v>
      </c>
      <c r="K48" s="2">
        <v>65.06</v>
      </c>
      <c r="L48" s="2">
        <v>39.82</v>
      </c>
      <c r="M48" s="4">
        <v>119.72</v>
      </c>
      <c r="N48" s="5">
        <f t="shared" si="13"/>
        <v>-6.399506781750923E-2</v>
      </c>
      <c r="O48" s="5">
        <f t="shared" si="9"/>
        <v>-4.6727594339622668E-2</v>
      </c>
      <c r="P48" s="5">
        <f t="shared" si="10"/>
        <v>-0.10883482714468634</v>
      </c>
      <c r="Q48" s="5">
        <f t="shared" si="11"/>
        <v>-6.4692351926394484E-2</v>
      </c>
      <c r="R48" s="5">
        <f t="shared" si="12"/>
        <v>-9.479427142532397E-2</v>
      </c>
      <c r="S48" s="5">
        <f t="shared" si="12"/>
        <v>-1.9973804846103452E-2</v>
      </c>
    </row>
    <row r="49" spans="1:19">
      <c r="A49" s="1">
        <v>39233</v>
      </c>
      <c r="B49" s="3">
        <f t="shared" si="14"/>
        <v>4.5715896279594146</v>
      </c>
      <c r="C49" s="3">
        <f t="shared" si="15"/>
        <v>2.7038660821044234</v>
      </c>
      <c r="D49" s="3">
        <f t="shared" si="16"/>
        <v>2.878883622959453</v>
      </c>
      <c r="E49" s="3">
        <f t="shared" si="17"/>
        <v>2.2417015791169836</v>
      </c>
      <c r="F49" s="3">
        <f t="shared" si="18"/>
        <v>1.8095433977786934</v>
      </c>
      <c r="G49" s="3">
        <f t="shared" si="8"/>
        <v>1.5184586699813554</v>
      </c>
      <c r="H49" s="2">
        <v>81.099999999999994</v>
      </c>
      <c r="I49" s="2">
        <v>67.84</v>
      </c>
      <c r="J49" s="2">
        <v>54.67</v>
      </c>
      <c r="K49" s="2">
        <v>69.56</v>
      </c>
      <c r="L49" s="2">
        <v>43.99</v>
      </c>
      <c r="M49" s="4">
        <v>122.16</v>
      </c>
      <c r="N49" s="5">
        <f t="shared" si="13"/>
        <v>8.3302250404076513E-3</v>
      </c>
      <c r="O49" s="5">
        <f t="shared" si="9"/>
        <v>-5.2646278452730011E-2</v>
      </c>
      <c r="P49" s="5">
        <f t="shared" si="10"/>
        <v>5.4904831625185099E-4</v>
      </c>
      <c r="Q49" s="5">
        <f t="shared" si="11"/>
        <v>3.9294785596892201E-2</v>
      </c>
      <c r="R49" s="5">
        <f t="shared" si="12"/>
        <v>-1.057130004498423E-2</v>
      </c>
      <c r="S49" s="5">
        <f t="shared" si="12"/>
        <v>-1.6900048285852315E-2</v>
      </c>
    </row>
    <row r="50" spans="1:19">
      <c r="A50" s="1">
        <v>39203</v>
      </c>
      <c r="B50" s="3">
        <f t="shared" si="14"/>
        <v>4.5338218714768903</v>
      </c>
      <c r="C50" s="3">
        <f t="shared" si="15"/>
        <v>2.854125149461936</v>
      </c>
      <c r="D50" s="3">
        <f t="shared" si="16"/>
        <v>2.8773038441284893</v>
      </c>
      <c r="E50" s="3">
        <f t="shared" si="17"/>
        <v>2.1569448920399616</v>
      </c>
      <c r="F50" s="3">
        <f t="shared" si="18"/>
        <v>1.8288770053475951</v>
      </c>
      <c r="G50" s="3">
        <f t="shared" si="8"/>
        <v>1.5445618396519585</v>
      </c>
      <c r="H50" s="2">
        <v>80.430000000000007</v>
      </c>
      <c r="I50" s="2">
        <v>71.61</v>
      </c>
      <c r="J50" s="2">
        <v>54.64</v>
      </c>
      <c r="K50" s="2">
        <v>66.930000000000007</v>
      </c>
      <c r="L50" s="2">
        <v>44.46</v>
      </c>
      <c r="M50" s="4">
        <v>124.26</v>
      </c>
      <c r="N50" s="5">
        <f t="shared" si="13"/>
        <v>-1.4821166095051368E-2</v>
      </c>
      <c r="O50" s="5">
        <f t="shared" si="9"/>
        <v>-1.6751338734038154E-2</v>
      </c>
      <c r="P50" s="5">
        <f t="shared" si="10"/>
        <v>-2.1840315073397759E-2</v>
      </c>
      <c r="Q50" s="5">
        <f t="shared" si="11"/>
        <v>-7.4150971377725042E-3</v>
      </c>
      <c r="R50" s="5">
        <f t="shared" si="12"/>
        <v>3.7572928821470231E-2</v>
      </c>
      <c r="S50" s="5">
        <f t="shared" si="12"/>
        <v>-1.1219861542134134E-2</v>
      </c>
    </row>
    <row r="51" spans="1:19">
      <c r="A51" s="1">
        <v>39172</v>
      </c>
      <c r="B51" s="3">
        <f t="shared" si="14"/>
        <v>4.6020293122886144</v>
      </c>
      <c r="C51" s="3">
        <f t="shared" si="15"/>
        <v>2.90275009964129</v>
      </c>
      <c r="D51" s="3">
        <f t="shared" si="16"/>
        <v>2.9415481832543451</v>
      </c>
      <c r="E51" s="3">
        <f t="shared" si="17"/>
        <v>2.1730583306477604</v>
      </c>
      <c r="F51" s="3">
        <f t="shared" si="18"/>
        <v>1.7626491155902935</v>
      </c>
      <c r="G51" s="3">
        <f t="shared" si="8"/>
        <v>1.5620882535736489</v>
      </c>
      <c r="H51" s="2">
        <v>81.64</v>
      </c>
      <c r="I51" s="2">
        <v>72.83</v>
      </c>
      <c r="J51" s="2">
        <v>55.86</v>
      </c>
      <c r="K51" s="2">
        <v>67.430000000000007</v>
      </c>
      <c r="L51" s="2">
        <v>42.85</v>
      </c>
      <c r="M51" s="4">
        <v>125.67</v>
      </c>
      <c r="N51" s="5">
        <f t="shared" si="13"/>
        <v>5.8335493907181749E-2</v>
      </c>
      <c r="O51" s="5">
        <f t="shared" si="9"/>
        <v>7.912283301229818E-2</v>
      </c>
      <c r="P51" s="5">
        <f t="shared" si="10"/>
        <v>2.5518634110519564E-2</v>
      </c>
      <c r="Q51" s="5">
        <f t="shared" si="11"/>
        <v>-1.4325391024703841E-2</v>
      </c>
      <c r="R51" s="5">
        <f t="shared" si="12"/>
        <v>-3.7511230907457359E-2</v>
      </c>
      <c r="S51" s="5">
        <f t="shared" si="12"/>
        <v>2.8985507246376864E-2</v>
      </c>
    </row>
    <row r="52" spans="1:19">
      <c r="A52" s="1">
        <v>39141</v>
      </c>
      <c r="B52" s="3">
        <f t="shared" si="14"/>
        <v>4.3483652762119513</v>
      </c>
      <c r="C52" s="3">
        <f t="shared" si="15"/>
        <v>2.6899163013152636</v>
      </c>
      <c r="D52" s="3">
        <f t="shared" si="16"/>
        <v>2.8683517640863618</v>
      </c>
      <c r="E52" s="3">
        <f t="shared" si="17"/>
        <v>2.204640670319046</v>
      </c>
      <c r="F52" s="3">
        <f t="shared" si="18"/>
        <v>1.8313451254627739</v>
      </c>
      <c r="G52" s="3">
        <f t="shared" si="8"/>
        <v>1.5180857675574895</v>
      </c>
      <c r="H52" s="2">
        <v>77.14</v>
      </c>
      <c r="I52" s="2">
        <v>67.489999999999995</v>
      </c>
      <c r="J52" s="2">
        <v>54.47</v>
      </c>
      <c r="K52" s="2">
        <v>68.41</v>
      </c>
      <c r="L52" s="2">
        <v>44.52</v>
      </c>
      <c r="M52" s="4">
        <v>122.13</v>
      </c>
      <c r="N52" s="5">
        <f t="shared" si="13"/>
        <v>1.3266780507027521E-2</v>
      </c>
      <c r="O52" s="5">
        <f t="shared" si="9"/>
        <v>2.6620018253726806E-2</v>
      </c>
      <c r="P52" s="5">
        <f t="shared" si="10"/>
        <v>3.1042968010600049E-2</v>
      </c>
      <c r="Q52" s="5">
        <f t="shared" si="11"/>
        <v>1.5738678544914661E-2</v>
      </c>
      <c r="R52" s="5">
        <f t="shared" si="12"/>
        <v>-6.4717696942646541E-3</v>
      </c>
      <c r="S52" s="5">
        <f t="shared" si="12"/>
        <v>8.1886668850236692E-5</v>
      </c>
    </row>
    <row r="53" spans="1:19">
      <c r="A53" s="1">
        <v>39113</v>
      </c>
      <c r="B53" s="3">
        <f t="shared" si="14"/>
        <v>4.2914317925591892</v>
      </c>
      <c r="C53" s="3">
        <f t="shared" si="15"/>
        <v>2.6201673973694684</v>
      </c>
      <c r="D53" s="3">
        <f t="shared" si="16"/>
        <v>2.7819905213270144</v>
      </c>
      <c r="E53" s="3">
        <f t="shared" si="17"/>
        <v>2.1704801804705123</v>
      </c>
      <c r="F53" s="3">
        <f t="shared" si="18"/>
        <v>1.8432743726861387</v>
      </c>
      <c r="G53" s="3">
        <f t="shared" si="8"/>
        <v>1.5179614667495342</v>
      </c>
      <c r="H53" s="2">
        <v>76.13</v>
      </c>
      <c r="I53" s="2">
        <v>65.739999999999995</v>
      </c>
      <c r="J53" s="2">
        <v>52.83</v>
      </c>
      <c r="K53" s="2">
        <v>67.349999999999994</v>
      </c>
      <c r="L53" s="2">
        <v>44.81</v>
      </c>
      <c r="M53" s="4">
        <v>122.12</v>
      </c>
      <c r="N53" s="5">
        <f t="shared" si="13"/>
        <v>3.2691264243081886E-2</v>
      </c>
      <c r="O53" s="5">
        <f t="shared" si="9"/>
        <v>4.2499207104344947E-2</v>
      </c>
      <c r="P53" s="5">
        <f t="shared" si="10"/>
        <v>3.9960629921259865E-2</v>
      </c>
      <c r="Q53" s="5">
        <f t="shared" si="11"/>
        <v>3.875391265464166E-3</v>
      </c>
      <c r="R53" s="5">
        <f t="shared" si="12"/>
        <v>2.4228571428571481E-2</v>
      </c>
      <c r="S53" s="5">
        <f t="shared" si="12"/>
        <v>3.4739874597525915E-2</v>
      </c>
    </row>
    <row r="54" spans="1:19">
      <c r="A54" s="1">
        <v>39084</v>
      </c>
      <c r="B54" s="3">
        <f t="shared" si="14"/>
        <v>4.155580608793688</v>
      </c>
      <c r="C54" s="3">
        <f t="shared" si="15"/>
        <v>2.5133519330410512</v>
      </c>
      <c r="D54" s="3">
        <f t="shared" si="16"/>
        <v>2.67509215376514</v>
      </c>
      <c r="E54" s="3">
        <f t="shared" si="17"/>
        <v>2.1621011923944571</v>
      </c>
      <c r="F54" s="3">
        <f t="shared" si="18"/>
        <v>1.7996709173179772</v>
      </c>
      <c r="G54" s="3">
        <f t="shared" si="8"/>
        <v>1.4669981354878812</v>
      </c>
      <c r="H54" s="2">
        <v>73.72</v>
      </c>
      <c r="I54" s="2">
        <v>63.06</v>
      </c>
      <c r="J54" s="2">
        <v>50.8</v>
      </c>
      <c r="K54" s="2">
        <v>67.09</v>
      </c>
      <c r="L54" s="2">
        <v>43.75</v>
      </c>
      <c r="M54" s="4">
        <v>118.02</v>
      </c>
      <c r="N54" s="5">
        <f t="shared" si="13"/>
        <v>3.2782291958531849E-2</v>
      </c>
      <c r="O54" s="5">
        <f t="shared" si="9"/>
        <v>6.4663177443863004E-2</v>
      </c>
      <c r="P54" s="5">
        <f t="shared" si="10"/>
        <v>5.3504769805060109E-2</v>
      </c>
      <c r="Q54" s="5">
        <f t="shared" si="11"/>
        <v>0.13846937043950455</v>
      </c>
      <c r="R54" s="5">
        <f t="shared" si="12"/>
        <v>8.7767279960218825E-2</v>
      </c>
      <c r="S54" s="5">
        <f t="shared" si="12"/>
        <v>2.3324373536807403E-2</v>
      </c>
    </row>
    <row r="55" spans="1:19">
      <c r="A55" s="1">
        <v>39051</v>
      </c>
      <c r="B55" s="3">
        <f t="shared" si="14"/>
        <v>4.0236753100338225</v>
      </c>
      <c r="C55" s="3">
        <f t="shared" si="15"/>
        <v>2.3607014746911106</v>
      </c>
      <c r="D55" s="3">
        <f t="shared" si="16"/>
        <v>2.5392311743022646</v>
      </c>
      <c r="E55" s="3">
        <f t="shared" si="17"/>
        <v>1.8991298743151788</v>
      </c>
      <c r="F55" s="3">
        <f t="shared" si="18"/>
        <v>1.6544631838749493</v>
      </c>
      <c r="G55" s="3">
        <f t="shared" si="8"/>
        <v>1.4335612181479185</v>
      </c>
      <c r="H55" s="2">
        <v>71.38</v>
      </c>
      <c r="I55" s="2">
        <v>59.23</v>
      </c>
      <c r="J55" s="2">
        <v>48.22</v>
      </c>
      <c r="K55" s="2">
        <v>58.93</v>
      </c>
      <c r="L55" s="2">
        <v>40.22</v>
      </c>
      <c r="M55" s="4">
        <v>115.33</v>
      </c>
      <c r="N55" s="5">
        <f t="shared" si="13"/>
        <v>4.5860805860805792E-2</v>
      </c>
      <c r="O55" s="5">
        <f t="shared" si="9"/>
        <v>2.3324118866620495E-2</v>
      </c>
      <c r="P55" s="5">
        <f t="shared" si="10"/>
        <v>6.941672211133279E-2</v>
      </c>
      <c r="Q55" s="5">
        <f t="shared" si="11"/>
        <v>2.7550130775937196E-2</v>
      </c>
      <c r="R55" s="5">
        <f t="shared" si="12"/>
        <v>1.7434620174346274E-3</v>
      </c>
      <c r="S55" s="5">
        <f t="shared" si="12"/>
        <v>6.68825161887142E-2</v>
      </c>
    </row>
    <row r="56" spans="1:19">
      <c r="A56" s="1">
        <v>39021</v>
      </c>
      <c r="B56" s="3">
        <f t="shared" si="14"/>
        <v>3.8472378804960545</v>
      </c>
      <c r="C56" s="3">
        <f t="shared" si="15"/>
        <v>2.3068951773614974</v>
      </c>
      <c r="D56" s="3">
        <f t="shared" si="16"/>
        <v>2.3744075829383888</v>
      </c>
      <c r="E56" s="3">
        <f t="shared" si="17"/>
        <v>1.8482114083145345</v>
      </c>
      <c r="F56" s="3">
        <f t="shared" si="18"/>
        <v>1.6515837104072406</v>
      </c>
      <c r="G56" s="3">
        <f t="shared" si="8"/>
        <v>1.3436917339962715</v>
      </c>
      <c r="H56" s="2">
        <v>68.25</v>
      </c>
      <c r="I56" s="2">
        <v>57.88</v>
      </c>
      <c r="J56" s="2">
        <v>45.09</v>
      </c>
      <c r="K56" s="2">
        <v>57.35</v>
      </c>
      <c r="L56" s="2">
        <v>40.15</v>
      </c>
      <c r="M56" s="4">
        <v>108.1</v>
      </c>
      <c r="N56" s="5">
        <f t="shared" si="13"/>
        <v>1.2461059190031204E-2</v>
      </c>
      <c r="O56" s="5">
        <f t="shared" si="9"/>
        <v>-9.1793503844343233E-2</v>
      </c>
      <c r="P56" s="5">
        <f t="shared" si="10"/>
        <v>6.194065002355164E-2</v>
      </c>
      <c r="Q56" s="5">
        <f t="shared" si="11"/>
        <v>-3.5161507402422548E-2</v>
      </c>
      <c r="R56" s="5">
        <f t="shared" si="12"/>
        <v>3.7499999999999643E-3</v>
      </c>
      <c r="S56" s="5">
        <f t="shared" si="12"/>
        <v>0</v>
      </c>
    </row>
    <row r="57" spans="1:19">
      <c r="A57" s="1">
        <v>38990</v>
      </c>
      <c r="B57" s="3">
        <f t="shared" si="14"/>
        <v>3.7998872604284109</v>
      </c>
      <c r="C57" s="3">
        <f t="shared" si="15"/>
        <v>2.5400557991231554</v>
      </c>
      <c r="D57" s="3">
        <f t="shared" si="16"/>
        <v>2.2359136387572409</v>
      </c>
      <c r="E57" s="3">
        <f t="shared" si="17"/>
        <v>1.9155655816951338</v>
      </c>
      <c r="F57" s="3">
        <f t="shared" si="18"/>
        <v>1.6454134101192934</v>
      </c>
      <c r="G57" s="3">
        <f t="shared" si="8"/>
        <v>1.3436917339962715</v>
      </c>
      <c r="H57" s="2">
        <v>67.41</v>
      </c>
      <c r="I57" s="2">
        <v>63.73</v>
      </c>
      <c r="J57" s="2">
        <v>42.46</v>
      </c>
      <c r="K57" s="2">
        <v>59.44</v>
      </c>
      <c r="L57" s="2">
        <v>40</v>
      </c>
      <c r="M57" s="4">
        <v>108.1</v>
      </c>
      <c r="N57" s="5">
        <f t="shared" si="13"/>
        <v>4.9672999065711584E-2</v>
      </c>
      <c r="O57" s="5">
        <f t="shared" si="9"/>
        <v>6.1635848742295447E-2</v>
      </c>
      <c r="P57" s="5">
        <f t="shared" si="10"/>
        <v>7.2222222222222202E-2</v>
      </c>
      <c r="Q57" s="5">
        <f t="shared" si="11"/>
        <v>1.6826518593299699E-4</v>
      </c>
      <c r="R57" s="5">
        <f t="shared" si="12"/>
        <v>1.651842439644215E-2</v>
      </c>
      <c r="S57" s="5">
        <f t="shared" si="12"/>
        <v>3.8125420147892046E-2</v>
      </c>
    </row>
    <row r="58" spans="1:19">
      <c r="A58" s="1">
        <v>38960</v>
      </c>
      <c r="B58" s="3">
        <f t="shared" si="14"/>
        <v>3.6200676437429542</v>
      </c>
      <c r="C58" s="3">
        <f t="shared" si="15"/>
        <v>2.3925866879234743</v>
      </c>
      <c r="D58" s="3">
        <f t="shared" si="16"/>
        <v>2.0853080568720381</v>
      </c>
      <c r="E58" s="3">
        <f t="shared" si="17"/>
        <v>1.915243312922978</v>
      </c>
      <c r="F58" s="3">
        <f t="shared" si="18"/>
        <v>1.6186754422048548</v>
      </c>
      <c r="G58" s="3">
        <f t="shared" si="8"/>
        <v>1.2943443132380366</v>
      </c>
      <c r="H58" s="2">
        <v>64.22</v>
      </c>
      <c r="I58" s="2">
        <v>60.03</v>
      </c>
      <c r="J58" s="2">
        <v>39.6</v>
      </c>
      <c r="K58" s="2">
        <v>59.43</v>
      </c>
      <c r="L58" s="2">
        <v>39.35</v>
      </c>
      <c r="M58" s="4">
        <v>104.13</v>
      </c>
      <c r="N58" s="5">
        <f t="shared" si="13"/>
        <v>9.2362646708623916E-2</v>
      </c>
      <c r="O58" s="5">
        <f t="shared" si="9"/>
        <v>8.8485947416137856E-2</v>
      </c>
      <c r="P58" s="5">
        <f t="shared" si="10"/>
        <v>0.12468048849758592</v>
      </c>
      <c r="Q58" s="5">
        <f t="shared" si="11"/>
        <v>2.5362318840579691E-2</v>
      </c>
      <c r="R58" s="5">
        <f t="shared" si="12"/>
        <v>4.0729965617561467E-2</v>
      </c>
      <c r="S58" s="5">
        <f t="shared" si="12"/>
        <v>8.9567856021764189E-2</v>
      </c>
    </row>
    <row r="59" spans="1:19">
      <c r="A59" s="1">
        <v>38930</v>
      </c>
      <c r="B59" s="3">
        <f t="shared" si="14"/>
        <v>3.3139797068771144</v>
      </c>
      <c r="C59" s="3">
        <f t="shared" si="15"/>
        <v>2.198086887206057</v>
      </c>
      <c r="D59" s="3">
        <f t="shared" si="16"/>
        <v>1.8541337546076886</v>
      </c>
      <c r="E59" s="3">
        <f t="shared" si="17"/>
        <v>1.8678698034160495</v>
      </c>
      <c r="F59" s="3">
        <f t="shared" si="18"/>
        <v>1.5553270259152621</v>
      </c>
      <c r="G59" s="3">
        <f t="shared" si="8"/>
        <v>1.1879428216283412</v>
      </c>
      <c r="H59" s="2">
        <v>58.79</v>
      </c>
      <c r="I59" s="2">
        <v>55.15</v>
      </c>
      <c r="J59" s="2">
        <v>35.21</v>
      </c>
      <c r="K59" s="2">
        <v>57.96</v>
      </c>
      <c r="L59" s="2">
        <v>37.81</v>
      </c>
      <c r="M59" s="4">
        <v>95.57</v>
      </c>
      <c r="N59" s="5">
        <f t="shared" si="13"/>
        <v>-7.7369742623979915E-2</v>
      </c>
      <c r="O59" s="5">
        <f t="shared" si="9"/>
        <v>-9.7381342062193177E-2</v>
      </c>
      <c r="P59" s="5">
        <f t="shared" si="10"/>
        <v>-8.1877444589309012E-2</v>
      </c>
      <c r="Q59" s="5">
        <f t="shared" si="11"/>
        <v>-6.6816937691193026E-2</v>
      </c>
      <c r="R59" s="5">
        <f t="shared" si="12"/>
        <v>-5.0715541049460106E-2</v>
      </c>
      <c r="S59" s="5">
        <f t="shared" si="12"/>
        <v>-4.4968522034575797E-2</v>
      </c>
    </row>
    <row r="60" spans="1:19">
      <c r="A60" s="1">
        <v>38898</v>
      </c>
      <c r="B60" s="3">
        <f t="shared" si="14"/>
        <v>3.5918827508455471</v>
      </c>
      <c r="C60" s="3">
        <f t="shared" si="15"/>
        <v>2.4352331606217605</v>
      </c>
      <c r="D60" s="3">
        <f t="shared" si="16"/>
        <v>2.019483938915219</v>
      </c>
      <c r="E60" s="3">
        <f t="shared" si="17"/>
        <v>2.0016113438607803</v>
      </c>
      <c r="F60" s="3">
        <f t="shared" si="18"/>
        <v>1.6384204031262861</v>
      </c>
      <c r="G60" s="3">
        <f t="shared" si="8"/>
        <v>1.2438781852082046</v>
      </c>
      <c r="H60" s="2">
        <v>63.72</v>
      </c>
      <c r="I60" s="2">
        <v>61.1</v>
      </c>
      <c r="J60" s="2">
        <v>38.35</v>
      </c>
      <c r="K60" s="2">
        <v>62.11</v>
      </c>
      <c r="L60" s="2">
        <v>39.83</v>
      </c>
      <c r="M60" s="4">
        <v>100.07</v>
      </c>
      <c r="N60" s="5">
        <f t="shared" si="13"/>
        <v>9.5410005157297528E-2</v>
      </c>
      <c r="O60" s="5">
        <f t="shared" si="9"/>
        <v>8.5836147147680786E-2</v>
      </c>
      <c r="P60" s="5">
        <f t="shared" si="10"/>
        <v>9.7910105926138039E-2</v>
      </c>
      <c r="Q60" s="5">
        <f t="shared" si="11"/>
        <v>8.7705051161279697E-3</v>
      </c>
      <c r="R60" s="5">
        <f t="shared" si="12"/>
        <v>-3.6526366715046082E-2</v>
      </c>
      <c r="S60" s="5">
        <f t="shared" si="12"/>
        <v>6.832497064161408E-2</v>
      </c>
    </row>
    <row r="61" spans="1:19">
      <c r="A61" s="1">
        <v>38868</v>
      </c>
      <c r="B61" s="3">
        <f t="shared" si="14"/>
        <v>3.2790304396843299</v>
      </c>
      <c r="C61" s="3">
        <f t="shared" si="15"/>
        <v>2.2427261857313661</v>
      </c>
      <c r="D61" s="3">
        <f t="shared" si="16"/>
        <v>1.8393891521853609</v>
      </c>
      <c r="E61" s="3">
        <f t="shared" si="17"/>
        <v>1.9842088301643575</v>
      </c>
      <c r="F61" s="3">
        <f t="shared" si="18"/>
        <v>1.7005347593582896</v>
      </c>
      <c r="G61" s="3">
        <f t="shared" si="8"/>
        <v>1.1643256681168437</v>
      </c>
      <c r="H61" s="2">
        <v>58.17</v>
      </c>
      <c r="I61" s="2">
        <v>56.27</v>
      </c>
      <c r="J61" s="2">
        <v>34.93</v>
      </c>
      <c r="K61" s="2">
        <v>61.57</v>
      </c>
      <c r="L61" s="2">
        <v>41.34</v>
      </c>
      <c r="M61" s="4">
        <v>93.67</v>
      </c>
      <c r="N61" s="5">
        <f t="shared" si="13"/>
        <v>-3.6601523683338869E-2</v>
      </c>
      <c r="O61" s="5">
        <f t="shared" si="9"/>
        <v>-2.2241529105125876E-2</v>
      </c>
      <c r="P61" s="5">
        <f t="shared" si="10"/>
        <v>-8.7274627645675548E-2</v>
      </c>
      <c r="Q61" s="5">
        <f t="shared" si="11"/>
        <v>-6.7827403482210405E-2</v>
      </c>
      <c r="R61" s="5">
        <f t="shared" si="12"/>
        <v>-7.6613803886531148E-2</v>
      </c>
      <c r="S61" s="5">
        <f t="shared" si="12"/>
        <v>-5.1731119659850167E-2</v>
      </c>
    </row>
    <row r="62" spans="1:19">
      <c r="A62" s="1">
        <v>38839</v>
      </c>
      <c r="B62" s="3">
        <f t="shared" si="14"/>
        <v>3.4036076662908692</v>
      </c>
      <c r="C62" s="3">
        <f t="shared" si="15"/>
        <v>2.2937425269031473</v>
      </c>
      <c r="D62" s="3">
        <f t="shared" si="16"/>
        <v>2.0152711953659823</v>
      </c>
      <c r="E62" s="3">
        <f t="shared" si="17"/>
        <v>2.1285852400902354</v>
      </c>
      <c r="F62" s="3">
        <f t="shared" si="18"/>
        <v>1.8416289592760189</v>
      </c>
      <c r="G62" s="3">
        <f t="shared" si="8"/>
        <v>1.2278433809819773</v>
      </c>
      <c r="H62" s="2">
        <v>60.38</v>
      </c>
      <c r="I62" s="2">
        <v>57.55</v>
      </c>
      <c r="J62" s="2">
        <v>38.270000000000003</v>
      </c>
      <c r="K62" s="2">
        <v>66.05</v>
      </c>
      <c r="L62" s="2">
        <v>44.77</v>
      </c>
      <c r="M62" s="4">
        <v>98.78</v>
      </c>
      <c r="N62" s="5">
        <f t="shared" si="13"/>
        <v>-9.5837076969152418E-2</v>
      </c>
      <c r="O62" s="5">
        <f t="shared" si="9"/>
        <v>-0.10871921945175773</v>
      </c>
      <c r="P62" s="5">
        <f t="shared" si="10"/>
        <v>-9.3127962085308047E-2</v>
      </c>
      <c r="Q62" s="5">
        <f t="shared" si="11"/>
        <v>-5.1005747126436747E-2</v>
      </c>
      <c r="R62" s="5">
        <f t="shared" si="12"/>
        <v>-0.10082345852580832</v>
      </c>
      <c r="S62" s="5">
        <f t="shared" si="12"/>
        <v>-7.9489329978566781E-2</v>
      </c>
    </row>
    <row r="63" spans="1:19">
      <c r="A63" s="1">
        <v>38807</v>
      </c>
      <c r="B63" s="3">
        <f t="shared" si="14"/>
        <v>3.7643742953776789</v>
      </c>
      <c r="C63" s="3">
        <f t="shared" si="15"/>
        <v>2.5735352730171366</v>
      </c>
      <c r="D63" s="3">
        <f t="shared" si="16"/>
        <v>2.2222222222222223</v>
      </c>
      <c r="E63" s="3">
        <f t="shared" si="17"/>
        <v>2.2429906542056077</v>
      </c>
      <c r="F63" s="3">
        <f t="shared" si="18"/>
        <v>2.0481283422459899</v>
      </c>
      <c r="G63" s="3">
        <f t="shared" si="8"/>
        <v>1.3338719701678072</v>
      </c>
      <c r="H63" s="2">
        <v>66.78</v>
      </c>
      <c r="I63" s="2">
        <v>64.569999999999993</v>
      </c>
      <c r="J63" s="2">
        <v>42.2</v>
      </c>
      <c r="K63" s="2">
        <v>69.599999999999994</v>
      </c>
      <c r="L63" s="2">
        <v>49.79</v>
      </c>
      <c r="M63" s="4">
        <v>107.31</v>
      </c>
      <c r="N63" s="5">
        <f t="shared" si="13"/>
        <v>1.8298261665141854E-2</v>
      </c>
      <c r="O63" s="5">
        <f t="shared" si="9"/>
        <v>-2.4718059632320528E-3</v>
      </c>
      <c r="P63" s="5">
        <f t="shared" si="10"/>
        <v>4.8707753479125267E-2</v>
      </c>
      <c r="Q63" s="5">
        <f t="shared" si="11"/>
        <v>2.0079144071522649E-2</v>
      </c>
      <c r="R63" s="5">
        <f t="shared" si="12"/>
        <v>2.7233340210439452E-2</v>
      </c>
      <c r="S63" s="5">
        <f t="shared" si="12"/>
        <v>1.5520015141478192E-2</v>
      </c>
    </row>
    <row r="64" spans="1:19">
      <c r="A64" s="1">
        <v>38776</v>
      </c>
      <c r="B64" s="3">
        <f t="shared" si="14"/>
        <v>3.6967305524239018</v>
      </c>
      <c r="C64" s="3">
        <f t="shared" si="15"/>
        <v>2.5799123156636097</v>
      </c>
      <c r="D64" s="3">
        <f t="shared" si="16"/>
        <v>2.1190100052659293</v>
      </c>
      <c r="E64" s="3">
        <f t="shared" si="17"/>
        <v>2.1988398324202389</v>
      </c>
      <c r="F64" s="3">
        <f t="shared" si="18"/>
        <v>1.9938296997120535</v>
      </c>
      <c r="G64" s="3">
        <f t="shared" si="8"/>
        <v>1.3134866376631458</v>
      </c>
      <c r="H64" s="2">
        <v>65.58</v>
      </c>
      <c r="I64" s="2">
        <v>64.73</v>
      </c>
      <c r="J64" s="2">
        <v>40.24</v>
      </c>
      <c r="K64" s="2">
        <v>68.23</v>
      </c>
      <c r="L64" s="2">
        <v>48.47</v>
      </c>
      <c r="M64" s="4">
        <v>105.67</v>
      </c>
      <c r="N64" s="5">
        <f t="shared" si="13"/>
        <v>7.2269457161543524E-2</v>
      </c>
      <c r="O64" s="5">
        <f t="shared" si="9"/>
        <v>0.14952939087195882</v>
      </c>
      <c r="P64" s="5">
        <f t="shared" si="10"/>
        <v>0.1271708683473389</v>
      </c>
      <c r="Q64" s="5">
        <f t="shared" si="11"/>
        <v>7.0106649937264842E-2</v>
      </c>
      <c r="R64" s="5">
        <f t="shared" si="12"/>
        <v>1.5503875968992291E-2</v>
      </c>
      <c r="S64" s="5">
        <f t="shared" si="12"/>
        <v>6.0837265334805768E-2</v>
      </c>
    </row>
    <row r="65" spans="1:19">
      <c r="A65" s="1">
        <v>38748</v>
      </c>
      <c r="B65" s="3">
        <f t="shared" si="14"/>
        <v>3.4475760992108242</v>
      </c>
      <c r="C65" s="3">
        <f t="shared" si="15"/>
        <v>2.244320446392984</v>
      </c>
      <c r="D65" s="3">
        <f t="shared" si="16"/>
        <v>1.8799368088467612</v>
      </c>
      <c r="E65" s="3">
        <f t="shared" si="17"/>
        <v>2.0547856912665163</v>
      </c>
      <c r="F65" s="3">
        <f t="shared" si="18"/>
        <v>1.9633895516248465</v>
      </c>
      <c r="G65" s="3">
        <f t="shared" si="8"/>
        <v>1.2381603480422632</v>
      </c>
      <c r="H65" s="2">
        <v>61.16</v>
      </c>
      <c r="I65" s="2">
        <v>56.31</v>
      </c>
      <c r="J65" s="2">
        <v>35.700000000000003</v>
      </c>
      <c r="K65" s="2">
        <v>63.76</v>
      </c>
      <c r="L65" s="2">
        <v>47.73</v>
      </c>
      <c r="M65" s="4">
        <v>99.61</v>
      </c>
      <c r="N65" s="5">
        <f t="shared" si="13"/>
        <v>2.3941068139963165E-2</v>
      </c>
      <c r="O65" s="5">
        <f t="shared" si="9"/>
        <v>4.9385016772269953E-2</v>
      </c>
      <c r="P65" s="5">
        <f t="shared" si="10"/>
        <v>4.7535211267605772E-2</v>
      </c>
      <c r="Q65" s="5">
        <f t="shared" si="11"/>
        <v>5.2145214521452085E-2</v>
      </c>
      <c r="R65" s="5">
        <f t="shared" si="12"/>
        <v>7.2825354012137439E-2</v>
      </c>
      <c r="S65" s="5">
        <f t="shared" si="12"/>
        <v>3.1159420289855126E-2</v>
      </c>
    </row>
    <row r="66" spans="1:19">
      <c r="A66" s="1">
        <v>38720</v>
      </c>
      <c r="B66" s="3">
        <f t="shared" si="14"/>
        <v>3.36696730552424</v>
      </c>
      <c r="C66" s="3">
        <f t="shared" si="15"/>
        <v>2.1387006775607795</v>
      </c>
      <c r="D66" s="3">
        <f t="shared" si="16"/>
        <v>1.794628751974723</v>
      </c>
      <c r="E66" s="3">
        <f t="shared" si="17"/>
        <v>1.9529487592652275</v>
      </c>
      <c r="F66" s="3">
        <f t="shared" si="18"/>
        <v>1.8301110654051838</v>
      </c>
      <c r="G66" s="3">
        <f t="shared" si="8"/>
        <v>1.2007458048477324</v>
      </c>
      <c r="H66" s="2">
        <v>59.73</v>
      </c>
      <c r="I66" s="2">
        <v>53.66</v>
      </c>
      <c r="J66" s="2">
        <v>34.08</v>
      </c>
      <c r="K66" s="2">
        <v>60.6</v>
      </c>
      <c r="L66" s="2">
        <v>44.49</v>
      </c>
      <c r="M66" s="4">
        <v>96.6</v>
      </c>
      <c r="N66" s="5">
        <f t="shared" si="13"/>
        <v>-2.7832031250000014E-2</v>
      </c>
      <c r="O66" s="5">
        <f t="shared" si="9"/>
        <v>0.11954934279157098</v>
      </c>
      <c r="P66" s="5">
        <f t="shared" si="10"/>
        <v>-1.4174139427249117E-2</v>
      </c>
      <c r="Q66" s="5">
        <f t="shared" si="11"/>
        <v>-1.1096605744125321E-2</v>
      </c>
      <c r="R66" s="5">
        <f t="shared" si="12"/>
        <v>1.7612076852699065E-2</v>
      </c>
      <c r="S66" s="5">
        <f t="shared" si="12"/>
        <v>-3.6312849162011183E-2</v>
      </c>
    </row>
    <row r="67" spans="1:19">
      <c r="A67" s="1">
        <v>38686</v>
      </c>
      <c r="B67" s="3">
        <f t="shared" si="14"/>
        <v>3.4633596392333721</v>
      </c>
      <c r="C67" s="3">
        <f t="shared" si="15"/>
        <v>1.9103228377839763</v>
      </c>
      <c r="D67" s="3">
        <f t="shared" si="16"/>
        <v>1.8204318062137963</v>
      </c>
      <c r="E67" s="3">
        <f t="shared" si="17"/>
        <v>1.974863035771834</v>
      </c>
      <c r="F67" s="3">
        <f t="shared" si="18"/>
        <v>1.7984368572603873</v>
      </c>
      <c r="G67" s="3">
        <f t="shared" si="8"/>
        <v>1.2459912989434441</v>
      </c>
      <c r="H67" s="2">
        <v>61.44</v>
      </c>
      <c r="I67" s="2">
        <v>47.93</v>
      </c>
      <c r="J67" s="2">
        <v>34.57</v>
      </c>
      <c r="K67" s="2">
        <v>61.28</v>
      </c>
      <c r="L67" s="2">
        <v>43.72</v>
      </c>
      <c r="M67" s="4">
        <v>100.24</v>
      </c>
      <c r="N67" s="5">
        <f t="shared" ref="N67:N98" si="19">(H67-H68)/H68</f>
        <v>3.2258064516128941E-2</v>
      </c>
      <c r="O67" s="5">
        <f t="shared" si="9"/>
        <v>3.275156216332694E-2</v>
      </c>
      <c r="P67" s="5">
        <f t="shared" si="10"/>
        <v>1.8862363689949913E-2</v>
      </c>
      <c r="Q67" s="5">
        <f t="shared" si="11"/>
        <v>-2.4359178474765181E-2</v>
      </c>
      <c r="R67" s="5">
        <f t="shared" si="12"/>
        <v>5.7510927076144473E-3</v>
      </c>
      <c r="S67" s="5">
        <f t="shared" si="12"/>
        <v>1.9113460756404996E-2</v>
      </c>
    </row>
    <row r="68" spans="1:19">
      <c r="A68" s="1">
        <v>38657</v>
      </c>
      <c r="B68" s="3">
        <f t="shared" ref="B68:B99" si="20">B69*(1+N68)</f>
        <v>3.3551296505073291</v>
      </c>
      <c r="C68" s="3">
        <f t="shared" ref="C68:C99" si="21">C69*(1+O68)</f>
        <v>1.8497409326424854</v>
      </c>
      <c r="D68" s="3">
        <f t="shared" ref="D68:D99" si="22">D69*(1+P68)</f>
        <v>1.7867298578199049</v>
      </c>
      <c r="E68" s="3">
        <f t="shared" ref="E68:E99" si="23">E69*(1+Q68)</f>
        <v>2.0241701579116986</v>
      </c>
      <c r="F68" s="3">
        <f t="shared" ref="F68:F99" si="24">F69*(1+R68)</f>
        <v>1.7881530234471414</v>
      </c>
      <c r="G68" s="3">
        <f t="shared" ref="G68:G131" si="25">G69*(1+S68)</f>
        <v>1.2226227470478568</v>
      </c>
      <c r="H68" s="2">
        <v>59.52</v>
      </c>
      <c r="I68" s="2">
        <v>46.41</v>
      </c>
      <c r="J68" s="2">
        <v>33.93</v>
      </c>
      <c r="K68" s="2">
        <v>62.81</v>
      </c>
      <c r="L68" s="2">
        <v>43.47</v>
      </c>
      <c r="M68" s="4">
        <v>98.36</v>
      </c>
      <c r="N68" s="5">
        <f t="shared" si="19"/>
        <v>0.10018484288354901</v>
      </c>
      <c r="O68" s="5">
        <f t="shared" ref="O68:O131" si="26">(I68-I69)/I69</f>
        <v>0.10605338417540504</v>
      </c>
      <c r="P68" s="5">
        <f t="shared" ref="P68:P131" si="27">(J68-J69)/J69</f>
        <v>8.0229226361031511E-2</v>
      </c>
      <c r="Q68" s="5">
        <f t="shared" ref="Q68:Q131" si="28">(K68-K69)/K69</f>
        <v>0.13171171171171175</v>
      </c>
      <c r="R68" s="5">
        <f t="shared" ref="R68:S131" si="29">(L68-L69)/L69</f>
        <v>0.13795811518324597</v>
      </c>
      <c r="S68" s="5">
        <f t="shared" si="29"/>
        <v>6.1629789530491023E-2</v>
      </c>
    </row>
    <row r="69" spans="1:19">
      <c r="A69" s="1">
        <v>38625</v>
      </c>
      <c r="B69" s="3">
        <f t="shared" si="20"/>
        <v>3.0496054114994373</v>
      </c>
      <c r="C69" s="3">
        <f t="shared" si="21"/>
        <v>1.6723794340374638</v>
      </c>
      <c r="D69" s="3">
        <f t="shared" si="22"/>
        <v>1.654028436018957</v>
      </c>
      <c r="E69" s="3">
        <f t="shared" si="23"/>
        <v>1.7885916854656785</v>
      </c>
      <c r="F69" s="3">
        <f t="shared" si="24"/>
        <v>1.571369806663925</v>
      </c>
      <c r="G69" s="3">
        <f t="shared" si="25"/>
        <v>1.1516469857054081</v>
      </c>
      <c r="H69" s="2">
        <v>54.1</v>
      </c>
      <c r="I69" s="2">
        <v>41.96</v>
      </c>
      <c r="J69" s="2">
        <v>31.41</v>
      </c>
      <c r="K69" s="2">
        <v>55.5</v>
      </c>
      <c r="L69" s="2">
        <v>38.200000000000003</v>
      </c>
      <c r="M69" s="4">
        <v>92.65</v>
      </c>
      <c r="N69" s="5">
        <f t="shared" si="19"/>
        <v>8.5756897837434912E-3</v>
      </c>
      <c r="O69" s="5">
        <f t="shared" si="26"/>
        <v>-0.11718914369871661</v>
      </c>
      <c r="P69" s="5">
        <f t="shared" si="27"/>
        <v>-3.413284132841337E-2</v>
      </c>
      <c r="Q69" s="5">
        <f t="shared" si="28"/>
        <v>-0.11890776313700591</v>
      </c>
      <c r="R69" s="5">
        <f t="shared" si="29"/>
        <v>-4.9751243781094523E-2</v>
      </c>
      <c r="S69" s="5">
        <f t="shared" si="29"/>
        <v>-1.926537525140249E-2</v>
      </c>
    </row>
    <row r="70" spans="1:19">
      <c r="A70" s="1">
        <v>38595</v>
      </c>
      <c r="B70" s="3">
        <f t="shared" si="20"/>
        <v>3.0236753100338229</v>
      </c>
      <c r="C70" s="3">
        <f t="shared" si="21"/>
        <v>1.8943802311677944</v>
      </c>
      <c r="D70" s="3">
        <f t="shared" si="22"/>
        <v>1.7124802527646126</v>
      </c>
      <c r="E70" s="3">
        <f t="shared" si="23"/>
        <v>2.0299709958105061</v>
      </c>
      <c r="F70" s="3">
        <f t="shared" si="24"/>
        <v>1.6536404771698896</v>
      </c>
      <c r="G70" s="3">
        <f t="shared" si="25"/>
        <v>1.1742697327532639</v>
      </c>
      <c r="H70" s="2">
        <v>53.64</v>
      </c>
      <c r="I70" s="2">
        <v>47.53</v>
      </c>
      <c r="J70" s="2">
        <v>32.520000000000003</v>
      </c>
      <c r="K70" s="2">
        <v>62.99</v>
      </c>
      <c r="L70" s="2">
        <v>40.200000000000003</v>
      </c>
      <c r="M70" s="4">
        <v>94.47</v>
      </c>
      <c r="N70" s="5">
        <f t="shared" si="19"/>
        <v>2.6406429391504067E-2</v>
      </c>
      <c r="O70" s="5">
        <f t="shared" si="26"/>
        <v>9.0137614678899067E-2</v>
      </c>
      <c r="P70" s="5">
        <f t="shared" si="27"/>
        <v>1.087970158532799E-2</v>
      </c>
      <c r="Q70" s="5">
        <f t="shared" si="28"/>
        <v>4.1329145313274918E-2</v>
      </c>
      <c r="R70" s="5">
        <f t="shared" si="29"/>
        <v>1.6691957511380973E-2</v>
      </c>
      <c r="S70" s="5">
        <f t="shared" si="29"/>
        <v>3.5514633344294583E-2</v>
      </c>
    </row>
    <row r="71" spans="1:19">
      <c r="A71" s="1">
        <v>38566</v>
      </c>
      <c r="B71" s="3">
        <f t="shared" si="20"/>
        <v>2.9458850056369794</v>
      </c>
      <c r="C71" s="3">
        <f t="shared" si="21"/>
        <v>1.7377441211638089</v>
      </c>
      <c r="D71" s="3">
        <f t="shared" si="22"/>
        <v>1.6940494997367033</v>
      </c>
      <c r="E71" s="3">
        <f t="shared" si="23"/>
        <v>1.9494038027715115</v>
      </c>
      <c r="F71" s="3">
        <f t="shared" si="24"/>
        <v>1.6264911559029209</v>
      </c>
      <c r="G71" s="3">
        <f t="shared" si="25"/>
        <v>1.1339962709757623</v>
      </c>
      <c r="H71" s="2">
        <v>52.26</v>
      </c>
      <c r="I71" s="2">
        <v>43.6</v>
      </c>
      <c r="J71" s="2">
        <v>32.17</v>
      </c>
      <c r="K71" s="2">
        <v>60.49</v>
      </c>
      <c r="L71" s="2">
        <v>39.54</v>
      </c>
      <c r="M71" s="4">
        <v>91.23</v>
      </c>
      <c r="N71" s="5">
        <f t="shared" si="19"/>
        <v>9.7207642242284176E-2</v>
      </c>
      <c r="O71" s="5">
        <f t="shared" si="26"/>
        <v>0.16858751005092465</v>
      </c>
      <c r="P71" s="5">
        <f t="shared" si="27"/>
        <v>6.8415808701428174E-2</v>
      </c>
      <c r="Q71" s="5">
        <f t="shared" si="28"/>
        <v>1.0524557300367566E-2</v>
      </c>
      <c r="R71" s="5">
        <f t="shared" si="29"/>
        <v>5.0838840874426975E-3</v>
      </c>
      <c r="S71" s="5">
        <f t="shared" si="29"/>
        <v>3.6940213684928391E-2</v>
      </c>
    </row>
    <row r="72" spans="1:19">
      <c r="A72" s="1">
        <v>38533</v>
      </c>
      <c r="B72" s="3">
        <f t="shared" si="20"/>
        <v>2.6848928974069906</v>
      </c>
      <c r="C72" s="3">
        <f t="shared" si="21"/>
        <v>1.4870466321243512</v>
      </c>
      <c r="D72" s="3">
        <f t="shared" si="22"/>
        <v>1.5855713533438649</v>
      </c>
      <c r="E72" s="3">
        <f t="shared" si="23"/>
        <v>1.9291008701256847</v>
      </c>
      <c r="F72" s="3">
        <f t="shared" si="24"/>
        <v>1.6182640888523245</v>
      </c>
      <c r="G72" s="3">
        <f t="shared" si="25"/>
        <v>1.0935985083903055</v>
      </c>
      <c r="H72" s="2">
        <v>47.63</v>
      </c>
      <c r="I72" s="2">
        <v>37.31</v>
      </c>
      <c r="J72" s="2">
        <v>30.11</v>
      </c>
      <c r="K72" s="2">
        <v>59.86</v>
      </c>
      <c r="L72" s="2">
        <v>39.340000000000003</v>
      </c>
      <c r="M72" s="4">
        <v>87.98</v>
      </c>
      <c r="N72" s="5">
        <f t="shared" si="19"/>
        <v>4.8426150121065437E-2</v>
      </c>
      <c r="O72" s="5">
        <f t="shared" si="26"/>
        <v>9.7428958051420673E-3</v>
      </c>
      <c r="P72" s="5">
        <f t="shared" si="27"/>
        <v>0.10535976505139505</v>
      </c>
      <c r="Q72" s="5">
        <f t="shared" si="28"/>
        <v>-7.2944091683444234E-2</v>
      </c>
      <c r="R72" s="5">
        <f t="shared" si="29"/>
        <v>6.3818280151433385E-2</v>
      </c>
      <c r="S72" s="5">
        <f t="shared" si="29"/>
        <v>7.4630511786979353E-2</v>
      </c>
    </row>
    <row r="73" spans="1:19">
      <c r="A73" s="1">
        <v>38503</v>
      </c>
      <c r="B73" s="3">
        <f t="shared" si="20"/>
        <v>2.5608793686583997</v>
      </c>
      <c r="C73" s="3">
        <f t="shared" si="21"/>
        <v>1.4726982861697877</v>
      </c>
      <c r="D73" s="3">
        <f t="shared" si="22"/>
        <v>1.4344391785150075</v>
      </c>
      <c r="E73" s="3">
        <f t="shared" si="23"/>
        <v>2.0808894618111502</v>
      </c>
      <c r="F73" s="3">
        <f t="shared" si="24"/>
        <v>1.5211846976552861</v>
      </c>
      <c r="G73" s="3">
        <f t="shared" si="25"/>
        <v>1.0176507147296465</v>
      </c>
      <c r="H73" s="2">
        <v>45.43</v>
      </c>
      <c r="I73" s="2">
        <v>36.950000000000003</v>
      </c>
      <c r="J73" s="2">
        <v>27.24</v>
      </c>
      <c r="K73" s="2">
        <v>64.569999999999993</v>
      </c>
      <c r="L73" s="2">
        <v>36.979999999999997</v>
      </c>
      <c r="M73" s="4">
        <v>81.87</v>
      </c>
      <c r="N73" s="5">
        <f t="shared" si="19"/>
        <v>-1.2391304347826093E-2</v>
      </c>
      <c r="O73" s="5">
        <f t="shared" si="26"/>
        <v>-5.2321107976404178E-2</v>
      </c>
      <c r="P73" s="5">
        <f t="shared" si="27"/>
        <v>-5.3180396246089716E-2</v>
      </c>
      <c r="Q73" s="5">
        <f t="shared" si="28"/>
        <v>-3.5692951015531674E-2</v>
      </c>
      <c r="R73" s="5">
        <f t="shared" si="29"/>
        <v>-4.8439181916038682E-3</v>
      </c>
      <c r="S73" s="5">
        <f t="shared" si="29"/>
        <v>-7.3233247894546893E-4</v>
      </c>
    </row>
    <row r="74" spans="1:19">
      <c r="A74" s="1">
        <v>38472</v>
      </c>
      <c r="B74" s="3">
        <f t="shared" si="20"/>
        <v>2.5930101465614439</v>
      </c>
      <c r="C74" s="3">
        <f t="shared" si="21"/>
        <v>1.5540055799123145</v>
      </c>
      <c r="D74" s="3">
        <f t="shared" si="22"/>
        <v>1.5150078988941544</v>
      </c>
      <c r="E74" s="3">
        <f t="shared" si="23"/>
        <v>2.157911698356429</v>
      </c>
      <c r="F74" s="3">
        <f t="shared" si="24"/>
        <v>1.528589058000823</v>
      </c>
      <c r="G74" s="3">
        <f t="shared" si="25"/>
        <v>1.0183965195773781</v>
      </c>
      <c r="H74" s="2">
        <v>46</v>
      </c>
      <c r="I74" s="2">
        <v>38.99</v>
      </c>
      <c r="J74" s="2">
        <v>28.77</v>
      </c>
      <c r="K74" s="2">
        <v>66.959999999999994</v>
      </c>
      <c r="L74" s="2">
        <v>37.159999999999997</v>
      </c>
      <c r="M74" s="4">
        <v>81.93</v>
      </c>
      <c r="N74" s="5">
        <f t="shared" si="19"/>
        <v>8.5161594715734826E-2</v>
      </c>
      <c r="O74" s="5">
        <f t="shared" si="26"/>
        <v>0.13080046403712314</v>
      </c>
      <c r="P74" s="5">
        <f t="shared" si="27"/>
        <v>7.2706935123042479E-2</v>
      </c>
      <c r="Q74" s="5">
        <f t="shared" si="28"/>
        <v>7.2389493914157527E-2</v>
      </c>
      <c r="R74" s="5">
        <f t="shared" si="29"/>
        <v>-1.2752391073326354E-2</v>
      </c>
      <c r="S74" s="5">
        <f t="shared" si="29"/>
        <v>5.8527131782945746E-2</v>
      </c>
    </row>
    <row r="75" spans="1:19">
      <c r="A75" s="1">
        <v>38442</v>
      </c>
      <c r="B75" s="3">
        <f t="shared" si="20"/>
        <v>2.3895152198421652</v>
      </c>
      <c r="C75" s="3">
        <f t="shared" si="21"/>
        <v>1.3742526903148651</v>
      </c>
      <c r="D75" s="3">
        <f t="shared" si="22"/>
        <v>1.4123222748815163</v>
      </c>
      <c r="E75" s="3">
        <f t="shared" si="23"/>
        <v>2.012246213341927</v>
      </c>
      <c r="F75" s="3">
        <f t="shared" si="24"/>
        <v>1.5483340189222548</v>
      </c>
      <c r="G75" s="3">
        <f t="shared" si="25"/>
        <v>0.96208825357364913</v>
      </c>
      <c r="H75" s="2">
        <v>42.39</v>
      </c>
      <c r="I75" s="2">
        <v>34.479999999999997</v>
      </c>
      <c r="J75" s="2">
        <v>26.82</v>
      </c>
      <c r="K75" s="2">
        <v>62.44</v>
      </c>
      <c r="L75" s="2">
        <v>37.64</v>
      </c>
      <c r="M75" s="4">
        <v>77.400000000000006</v>
      </c>
      <c r="N75" s="5">
        <f t="shared" si="19"/>
        <v>0.13615652640042877</v>
      </c>
      <c r="O75" s="5">
        <f t="shared" si="26"/>
        <v>0.12569376428338225</v>
      </c>
      <c r="P75" s="5">
        <f t="shared" si="27"/>
        <v>0.1203007518796992</v>
      </c>
      <c r="Q75" s="5">
        <f t="shared" si="28"/>
        <v>0.13775510204081623</v>
      </c>
      <c r="R75" s="5">
        <f t="shared" si="29"/>
        <v>0.1703980099502489</v>
      </c>
      <c r="S75" s="5">
        <f t="shared" si="29"/>
        <v>9.9275671069450497E-2</v>
      </c>
    </row>
    <row r="76" spans="1:19">
      <c r="A76" s="1">
        <v>38412</v>
      </c>
      <c r="B76" s="3">
        <f t="shared" si="20"/>
        <v>2.1031567080045104</v>
      </c>
      <c r="C76" s="3">
        <f t="shared" si="21"/>
        <v>1.2208051016341162</v>
      </c>
      <c r="D76" s="3">
        <f t="shared" si="22"/>
        <v>1.2606635071090044</v>
      </c>
      <c r="E76" s="3">
        <f t="shared" si="23"/>
        <v>1.7686110215920074</v>
      </c>
      <c r="F76" s="3">
        <f t="shared" si="24"/>
        <v>1.3229123817359114</v>
      </c>
      <c r="G76" s="3">
        <f t="shared" si="25"/>
        <v>0.87520198881292799</v>
      </c>
      <c r="H76" s="2">
        <v>37.31</v>
      </c>
      <c r="I76" s="2">
        <v>30.63</v>
      </c>
      <c r="J76" s="2">
        <v>23.94</v>
      </c>
      <c r="K76" s="2">
        <v>54.88</v>
      </c>
      <c r="L76" s="2">
        <v>32.159999999999997</v>
      </c>
      <c r="M76" s="4">
        <v>70.41</v>
      </c>
      <c r="N76" s="5">
        <f t="shared" si="19"/>
        <v>5.2765237020316158E-2</v>
      </c>
      <c r="O76" s="5">
        <f t="shared" si="26"/>
        <v>0.13151089767270036</v>
      </c>
      <c r="P76" s="5">
        <f t="shared" si="27"/>
        <v>3.8161318300086844E-2</v>
      </c>
      <c r="Q76" s="5">
        <f t="shared" si="28"/>
        <v>9.3662813870067807E-2</v>
      </c>
      <c r="R76" s="5">
        <f t="shared" si="29"/>
        <v>-2.5749772796122432E-2</v>
      </c>
      <c r="S76" s="5">
        <f t="shared" si="29"/>
        <v>8.3397445760886327E-2</v>
      </c>
    </row>
    <row r="77" spans="1:19">
      <c r="A77" s="1">
        <v>38384</v>
      </c>
      <c r="B77" s="3">
        <f t="shared" si="20"/>
        <v>1.9977452085682079</v>
      </c>
      <c r="C77" s="3">
        <f t="shared" si="21"/>
        <v>1.0789159027500987</v>
      </c>
      <c r="D77" s="3">
        <f t="shared" si="22"/>
        <v>1.2143233280674035</v>
      </c>
      <c r="E77" s="3">
        <f t="shared" si="23"/>
        <v>1.6171446986786975</v>
      </c>
      <c r="F77" s="3">
        <f t="shared" si="24"/>
        <v>1.3578774167009464</v>
      </c>
      <c r="G77" s="3">
        <f t="shared" si="25"/>
        <v>0.8078309509011814</v>
      </c>
      <c r="H77" s="2">
        <v>35.44</v>
      </c>
      <c r="I77" s="2">
        <v>27.07</v>
      </c>
      <c r="J77" s="2">
        <v>23.06</v>
      </c>
      <c r="K77" s="2">
        <v>50.18</v>
      </c>
      <c r="L77" s="2">
        <v>33.01</v>
      </c>
      <c r="M77" s="4">
        <v>64.989999999999995</v>
      </c>
      <c r="N77" s="5">
        <f t="shared" si="19"/>
        <v>-0.14188861985472154</v>
      </c>
      <c r="O77" s="5">
        <f t="shared" si="26"/>
        <v>-0.24930671103716032</v>
      </c>
      <c r="P77" s="5">
        <f t="shared" si="27"/>
        <v>-0.17406876790830955</v>
      </c>
      <c r="Q77" s="5">
        <f t="shared" si="28"/>
        <v>-0.2244204018547141</v>
      </c>
      <c r="R77" s="5">
        <f t="shared" si="29"/>
        <v>-0.21028708133971291</v>
      </c>
      <c r="S77" s="5">
        <f t="shared" si="29"/>
        <v>-0.10752540510848667</v>
      </c>
    </row>
    <row r="78" spans="1:19">
      <c r="A78" s="1">
        <v>38353</v>
      </c>
      <c r="B78" s="3">
        <f t="shared" si="20"/>
        <v>2.328072153325818</v>
      </c>
      <c r="C78" s="3">
        <f t="shared" si="21"/>
        <v>1.4372259864487831</v>
      </c>
      <c r="D78" s="3">
        <f t="shared" si="22"/>
        <v>1.4702474986835172</v>
      </c>
      <c r="E78" s="3">
        <f t="shared" si="23"/>
        <v>2.0850789558491778</v>
      </c>
      <c r="F78" s="3">
        <f t="shared" si="24"/>
        <v>1.7194570135746607</v>
      </c>
      <c r="G78" s="3">
        <f t="shared" si="25"/>
        <v>0.9051584835301435</v>
      </c>
      <c r="H78" s="2">
        <v>41.3</v>
      </c>
      <c r="I78" s="2">
        <v>36.06</v>
      </c>
      <c r="J78" s="2">
        <v>27.92</v>
      </c>
      <c r="K78" s="2">
        <v>64.7</v>
      </c>
      <c r="L78" s="2">
        <v>41.8</v>
      </c>
      <c r="M78" s="4">
        <v>72.819999999999993</v>
      </c>
      <c r="N78" s="5">
        <f t="shared" si="19"/>
        <v>-0.10470409711684381</v>
      </c>
      <c r="O78" s="5">
        <f t="shared" si="26"/>
        <v>-8.5235083860323128E-3</v>
      </c>
      <c r="P78" s="5">
        <f t="shared" si="27"/>
        <v>-7.1581961345739342E-4</v>
      </c>
      <c r="Q78" s="5">
        <f t="shared" si="28"/>
        <v>-2.4279897451364791E-2</v>
      </c>
      <c r="R78" s="5">
        <f t="shared" si="29"/>
        <v>-8.3036773428232843E-3</v>
      </c>
      <c r="S78" s="5">
        <f t="shared" si="29"/>
        <v>-8.2062271524013686E-2</v>
      </c>
    </row>
    <row r="79" spans="1:19">
      <c r="A79" s="1">
        <v>38321</v>
      </c>
      <c r="B79" s="3">
        <f t="shared" si="20"/>
        <v>2.6003382187147697</v>
      </c>
      <c r="C79" s="3">
        <f t="shared" si="21"/>
        <v>1.4495815065763238</v>
      </c>
      <c r="D79" s="3">
        <f t="shared" si="22"/>
        <v>1.4713006845708263</v>
      </c>
      <c r="E79" s="3">
        <f t="shared" si="23"/>
        <v>2.1369642281662902</v>
      </c>
      <c r="F79" s="3">
        <f t="shared" si="24"/>
        <v>1.7338543809132048</v>
      </c>
      <c r="G79" s="3">
        <f t="shared" si="25"/>
        <v>0.98607830950901254</v>
      </c>
      <c r="H79" s="2">
        <v>46.13</v>
      </c>
      <c r="I79" s="2">
        <v>36.369999999999997</v>
      </c>
      <c r="J79" s="2">
        <v>27.94</v>
      </c>
      <c r="K79" s="2">
        <v>66.31</v>
      </c>
      <c r="L79" s="2">
        <v>42.15</v>
      </c>
      <c r="M79" s="4">
        <v>79.33</v>
      </c>
      <c r="N79" s="5">
        <f t="shared" si="19"/>
        <v>0.10438113478573137</v>
      </c>
      <c r="O79" s="5">
        <f t="shared" si="26"/>
        <v>1.1010184420588811E-3</v>
      </c>
      <c r="P79" s="5">
        <f t="shared" si="27"/>
        <v>0.17840573597638129</v>
      </c>
      <c r="Q79" s="5">
        <f t="shared" si="28"/>
        <v>9.0445650386449597E-2</v>
      </c>
      <c r="R79" s="5">
        <f t="shared" si="29"/>
        <v>5.1909158971799312E-2</v>
      </c>
      <c r="S79" s="5">
        <f t="shared" si="29"/>
        <v>9.8014256619144095E-3</v>
      </c>
    </row>
    <row r="80" spans="1:19">
      <c r="A80" s="1">
        <v>38293</v>
      </c>
      <c r="B80" s="3">
        <f t="shared" si="20"/>
        <v>2.3545659526493807</v>
      </c>
      <c r="C80" s="3">
        <f t="shared" si="21"/>
        <v>1.4479872459147058</v>
      </c>
      <c r="D80" s="3">
        <f t="shared" si="22"/>
        <v>1.2485518694049496</v>
      </c>
      <c r="E80" s="3">
        <f t="shared" si="23"/>
        <v>1.9597164034805019</v>
      </c>
      <c r="F80" s="3">
        <f t="shared" si="24"/>
        <v>1.6482928835870017</v>
      </c>
      <c r="G80" s="3">
        <f t="shared" si="25"/>
        <v>0.97650714729645827</v>
      </c>
      <c r="H80" s="2">
        <v>41.77</v>
      </c>
      <c r="I80" s="2">
        <v>36.33</v>
      </c>
      <c r="J80" s="2">
        <v>23.71</v>
      </c>
      <c r="K80" s="2">
        <v>60.81</v>
      </c>
      <c r="L80" s="2">
        <v>40.07</v>
      </c>
      <c r="M80" s="4">
        <v>78.56</v>
      </c>
      <c r="N80" s="5">
        <f t="shared" si="19"/>
        <v>-0.11033013844515441</v>
      </c>
      <c r="O80" s="5">
        <f t="shared" si="26"/>
        <v>-0.1808342728297633</v>
      </c>
      <c r="P80" s="5">
        <f t="shared" si="27"/>
        <v>-7.5273010920436811E-2</v>
      </c>
      <c r="Q80" s="5">
        <f t="shared" si="28"/>
        <v>-8.6250939143501057E-2</v>
      </c>
      <c r="R80" s="5">
        <f t="shared" si="29"/>
        <v>-4.5270431260424078E-2</v>
      </c>
      <c r="S80" s="5">
        <f t="shared" si="29"/>
        <v>-6.9635243960208384E-2</v>
      </c>
    </row>
    <row r="81" spans="1:19">
      <c r="A81" s="1">
        <v>38260</v>
      </c>
      <c r="B81" s="3">
        <f t="shared" si="20"/>
        <v>2.646561443066517</v>
      </c>
      <c r="C81" s="3">
        <f t="shared" si="21"/>
        <v>1.7676365085691497</v>
      </c>
      <c r="D81" s="3">
        <f t="shared" si="22"/>
        <v>1.3501843075302786</v>
      </c>
      <c r="E81" s="3">
        <f t="shared" si="23"/>
        <v>2.1446986786980329</v>
      </c>
      <c r="F81" s="3">
        <f t="shared" si="24"/>
        <v>1.7264500205676681</v>
      </c>
      <c r="G81" s="3">
        <f t="shared" si="25"/>
        <v>1.0495960223741463</v>
      </c>
      <c r="H81" s="2">
        <v>46.95</v>
      </c>
      <c r="I81" s="2">
        <v>44.35</v>
      </c>
      <c r="J81" s="2">
        <v>25.64</v>
      </c>
      <c r="K81" s="2">
        <v>66.55</v>
      </c>
      <c r="L81" s="2">
        <v>41.97</v>
      </c>
      <c r="M81" s="4">
        <v>84.44</v>
      </c>
      <c r="N81" s="5">
        <f t="shared" si="19"/>
        <v>-8.4973689339310057E-2</v>
      </c>
      <c r="O81" s="5">
        <f t="shared" si="26"/>
        <v>-8.5943940643033831E-2</v>
      </c>
      <c r="P81" s="5">
        <f t="shared" si="27"/>
        <v>-0.26721920548728212</v>
      </c>
      <c r="Q81" s="5">
        <f t="shared" si="28"/>
        <v>-0.22444936487588865</v>
      </c>
      <c r="R81" s="5">
        <f t="shared" si="29"/>
        <v>-3.9588100686498942E-2</v>
      </c>
      <c r="S81" s="5">
        <f t="shared" si="29"/>
        <v>-0.16520019772614936</v>
      </c>
    </row>
    <row r="82" spans="1:19">
      <c r="A82" s="1">
        <v>38231</v>
      </c>
      <c r="B82" s="3">
        <f t="shared" si="20"/>
        <v>2.8923337091319059</v>
      </c>
      <c r="C82" s="3">
        <f t="shared" si="21"/>
        <v>1.9338381825428441</v>
      </c>
      <c r="D82" s="3">
        <f t="shared" si="22"/>
        <v>1.8425487098472877</v>
      </c>
      <c r="E82" s="3">
        <f t="shared" si="23"/>
        <v>2.7653883338704466</v>
      </c>
      <c r="F82" s="3">
        <f t="shared" si="24"/>
        <v>1.7976141505553278</v>
      </c>
      <c r="G82" s="3">
        <f t="shared" si="25"/>
        <v>1.2573026724673722</v>
      </c>
      <c r="H82" s="2">
        <v>51.31</v>
      </c>
      <c r="I82" s="2">
        <v>48.52</v>
      </c>
      <c r="J82" s="2">
        <v>34.99</v>
      </c>
      <c r="K82" s="2">
        <v>85.81</v>
      </c>
      <c r="L82" s="2">
        <v>43.7</v>
      </c>
      <c r="M82" s="4">
        <v>101.15</v>
      </c>
      <c r="N82" s="5">
        <f t="shared" si="19"/>
        <v>-8.4240585400678192E-2</v>
      </c>
      <c r="O82" s="5">
        <f t="shared" si="26"/>
        <v>-0.12513523260007209</v>
      </c>
      <c r="P82" s="5">
        <f t="shared" si="27"/>
        <v>-0.17183431952662717</v>
      </c>
      <c r="Q82" s="5">
        <f t="shared" si="28"/>
        <v>-5.8171441115135517E-2</v>
      </c>
      <c r="R82" s="5">
        <f t="shared" si="29"/>
        <v>-0.10798122065727697</v>
      </c>
      <c r="S82" s="5">
        <f t="shared" si="29"/>
        <v>-9.4206143100205933E-2</v>
      </c>
    </row>
    <row r="83" spans="1:19">
      <c r="A83" s="1">
        <v>38199</v>
      </c>
      <c r="B83" s="3">
        <f t="shared" si="20"/>
        <v>3.1583990980834282</v>
      </c>
      <c r="C83" s="3">
        <f t="shared" si="21"/>
        <v>2.2104424073335971</v>
      </c>
      <c r="D83" s="3">
        <f t="shared" si="22"/>
        <v>2.2248551869404944</v>
      </c>
      <c r="E83" s="3">
        <f t="shared" si="23"/>
        <v>2.9361907831131147</v>
      </c>
      <c r="F83" s="3">
        <f t="shared" si="24"/>
        <v>2.0152200740436044</v>
      </c>
      <c r="G83" s="3">
        <f t="shared" si="25"/>
        <v>1.388067122436297</v>
      </c>
      <c r="H83" s="2">
        <v>56.03</v>
      </c>
      <c r="I83" s="2">
        <v>55.46</v>
      </c>
      <c r="J83" s="2">
        <v>42.25</v>
      </c>
      <c r="K83" s="2">
        <v>91.11</v>
      </c>
      <c r="L83" s="2">
        <v>48.99</v>
      </c>
      <c r="M83" s="4">
        <v>111.67</v>
      </c>
      <c r="N83" s="5">
        <f t="shared" si="19"/>
        <v>3.0152601581173021E-2</v>
      </c>
      <c r="O83" s="5">
        <f t="shared" si="26"/>
        <v>7.9408330089528967E-2</v>
      </c>
      <c r="P83" s="5">
        <f t="shared" si="27"/>
        <v>-7.9830946231510547E-3</v>
      </c>
      <c r="Q83" s="5">
        <f t="shared" si="28"/>
        <v>0.12011310548315707</v>
      </c>
      <c r="R83" s="5">
        <f t="shared" si="29"/>
        <v>5.3548387096774237E-2</v>
      </c>
      <c r="S83" s="5">
        <f t="shared" si="29"/>
        <v>1.5458761480403772E-2</v>
      </c>
    </row>
    <row r="84" spans="1:19">
      <c r="A84" s="1">
        <v>38168</v>
      </c>
      <c r="B84" s="3">
        <f t="shared" si="20"/>
        <v>3.0659526493799332</v>
      </c>
      <c r="C84" s="3">
        <f t="shared" si="21"/>
        <v>2.0478278198485436</v>
      </c>
      <c r="D84" s="3">
        <f t="shared" si="22"/>
        <v>2.2427593470247493</v>
      </c>
      <c r="E84" s="3">
        <f t="shared" si="23"/>
        <v>2.6213341927167244</v>
      </c>
      <c r="F84" s="3">
        <f t="shared" si="24"/>
        <v>1.9127930892636782</v>
      </c>
      <c r="G84" s="3">
        <f t="shared" si="25"/>
        <v>1.3669359850839042</v>
      </c>
      <c r="H84" s="2">
        <v>54.39</v>
      </c>
      <c r="I84" s="2">
        <v>51.38</v>
      </c>
      <c r="J84" s="2">
        <v>42.59</v>
      </c>
      <c r="K84" s="2">
        <v>81.34</v>
      </c>
      <c r="L84" s="2">
        <v>46.5</v>
      </c>
      <c r="M84" s="4">
        <v>109.97</v>
      </c>
      <c r="N84" s="5">
        <f t="shared" si="19"/>
        <v>3.6789935188715206E-2</v>
      </c>
      <c r="O84" s="5">
        <f t="shared" si="26"/>
        <v>-7.0213536011581534E-2</v>
      </c>
      <c r="P84" s="5">
        <f t="shared" si="27"/>
        <v>1.1158594491927968E-2</v>
      </c>
      <c r="Q84" s="5">
        <f t="shared" si="28"/>
        <v>5.7462298491939699E-2</v>
      </c>
      <c r="R84" s="5">
        <f t="shared" si="29"/>
        <v>1.6615653694796631E-2</v>
      </c>
      <c r="S84" s="5">
        <f t="shared" si="29"/>
        <v>-8.9221341023791902E-3</v>
      </c>
    </row>
    <row r="85" spans="1:19">
      <c r="A85" s="1">
        <v>38139</v>
      </c>
      <c r="B85" s="3">
        <f t="shared" si="20"/>
        <v>2.9571589627959427</v>
      </c>
      <c r="C85" s="3">
        <f t="shared" si="21"/>
        <v>2.2024711040255061</v>
      </c>
      <c r="D85" s="3">
        <f t="shared" si="22"/>
        <v>2.2180094786729851</v>
      </c>
      <c r="E85" s="3">
        <f t="shared" si="23"/>
        <v>2.4788913954237821</v>
      </c>
      <c r="F85" s="3">
        <f t="shared" si="24"/>
        <v>1.8815302344714118</v>
      </c>
      <c r="G85" s="3">
        <f t="shared" si="25"/>
        <v>1.3792417650714741</v>
      </c>
      <c r="H85" s="2">
        <v>52.46</v>
      </c>
      <c r="I85" s="2">
        <v>55.26</v>
      </c>
      <c r="J85" s="2">
        <v>42.12</v>
      </c>
      <c r="K85" s="2">
        <v>76.92</v>
      </c>
      <c r="L85" s="2">
        <v>45.74</v>
      </c>
      <c r="M85" s="4">
        <v>110.96</v>
      </c>
      <c r="N85" s="5">
        <f t="shared" si="19"/>
        <v>-0.13145695364238408</v>
      </c>
      <c r="O85" s="5">
        <f t="shared" si="26"/>
        <v>-0.20592039086075592</v>
      </c>
      <c r="P85" s="5">
        <f t="shared" si="27"/>
        <v>-0.15658790548658391</v>
      </c>
      <c r="Q85" s="5">
        <f t="shared" si="28"/>
        <v>-9.8452883263009758E-2</v>
      </c>
      <c r="R85" s="5">
        <f t="shared" si="29"/>
        <v>-0.11868978805394984</v>
      </c>
      <c r="S85" s="5">
        <f t="shared" si="29"/>
        <v>-8.3581103402708995E-2</v>
      </c>
    </row>
    <row r="86" spans="1:19">
      <c r="A86" s="1">
        <v>38107</v>
      </c>
      <c r="B86" s="3">
        <f t="shared" si="20"/>
        <v>3.4047350620067656</v>
      </c>
      <c r="C86" s="3">
        <f t="shared" si="21"/>
        <v>2.7736149860502168</v>
      </c>
      <c r="D86" s="3">
        <f t="shared" si="22"/>
        <v>2.6298051606108475</v>
      </c>
      <c r="E86" s="3">
        <f t="shared" si="23"/>
        <v>2.7495971640348031</v>
      </c>
      <c r="F86" s="3">
        <f t="shared" si="24"/>
        <v>2.1349238996297828</v>
      </c>
      <c r="G86" s="3">
        <f t="shared" si="25"/>
        <v>1.5050341827221889</v>
      </c>
      <c r="H86" s="2">
        <v>60.4</v>
      </c>
      <c r="I86" s="2">
        <v>69.59</v>
      </c>
      <c r="J86" s="2">
        <v>49.94</v>
      </c>
      <c r="K86" s="2">
        <v>85.32</v>
      </c>
      <c r="L86" s="2">
        <v>51.9</v>
      </c>
      <c r="M86" s="4">
        <v>121.08</v>
      </c>
      <c r="N86" s="5">
        <f t="shared" si="19"/>
        <v>-1.5484922575387168E-2</v>
      </c>
      <c r="O86" s="5">
        <f t="shared" si="26"/>
        <v>-2.0135173190650418E-2</v>
      </c>
      <c r="P86" s="5">
        <f t="shared" si="27"/>
        <v>8.0742834073475687E-3</v>
      </c>
      <c r="Q86" s="5">
        <f t="shared" si="28"/>
        <v>3.6065573770491792E-2</v>
      </c>
      <c r="R86" s="5">
        <f t="shared" si="29"/>
        <v>-1.731102135026032E-3</v>
      </c>
      <c r="S86" s="5">
        <f t="shared" si="29"/>
        <v>1.509054325955732E-2</v>
      </c>
    </row>
    <row r="87" spans="1:19">
      <c r="A87" s="1">
        <v>38077</v>
      </c>
      <c r="B87" s="3">
        <f t="shared" si="20"/>
        <v>3.4582863585118391</v>
      </c>
      <c r="C87" s="3">
        <f t="shared" si="21"/>
        <v>2.8306098047030663</v>
      </c>
      <c r="D87" s="3">
        <f t="shared" si="22"/>
        <v>2.6087414428646656</v>
      </c>
      <c r="E87" s="3">
        <f t="shared" si="23"/>
        <v>2.6538833387044778</v>
      </c>
      <c r="F87" s="3">
        <f t="shared" si="24"/>
        <v>2.1386260798025511</v>
      </c>
      <c r="G87" s="3">
        <f t="shared" si="25"/>
        <v>1.4826600372902434</v>
      </c>
      <c r="H87" s="2">
        <v>61.35</v>
      </c>
      <c r="I87" s="2">
        <v>71.02</v>
      </c>
      <c r="J87" s="2">
        <v>49.54</v>
      </c>
      <c r="K87" s="2">
        <v>82.35</v>
      </c>
      <c r="L87" s="2">
        <v>51.99</v>
      </c>
      <c r="M87" s="4">
        <v>119.28</v>
      </c>
      <c r="N87" s="5">
        <f t="shared" si="19"/>
        <v>5.3038105046344035E-2</v>
      </c>
      <c r="O87" s="5">
        <f t="shared" si="26"/>
        <v>0.1410668380462724</v>
      </c>
      <c r="P87" s="5">
        <f t="shared" si="27"/>
        <v>5.292242295430398E-2</v>
      </c>
      <c r="Q87" s="5">
        <f t="shared" si="28"/>
        <v>6.7816390041493646E-2</v>
      </c>
      <c r="R87" s="5">
        <f t="shared" si="29"/>
        <v>-9.9028756427346418E-3</v>
      </c>
      <c r="S87" s="5">
        <f t="shared" si="29"/>
        <v>4.769433465085645E-2</v>
      </c>
    </row>
    <row r="88" spans="1:19">
      <c r="A88" s="1">
        <v>38048</v>
      </c>
      <c r="B88" s="3">
        <f t="shared" si="20"/>
        <v>3.2841037204058638</v>
      </c>
      <c r="C88" s="3">
        <f t="shared" si="21"/>
        <v>2.4806695894778779</v>
      </c>
      <c r="D88" s="3">
        <f t="shared" si="22"/>
        <v>2.4776197998946814</v>
      </c>
      <c r="E88" s="3">
        <f t="shared" si="23"/>
        <v>2.4853367708669016</v>
      </c>
      <c r="F88" s="3">
        <f t="shared" si="24"/>
        <v>2.1600164541341016</v>
      </c>
      <c r="G88" s="3">
        <f t="shared" si="25"/>
        <v>1.4151646985705415</v>
      </c>
      <c r="H88" s="2">
        <v>58.26</v>
      </c>
      <c r="I88" s="2">
        <v>62.24</v>
      </c>
      <c r="J88" s="2">
        <v>47.05</v>
      </c>
      <c r="K88" s="2">
        <v>77.12</v>
      </c>
      <c r="L88" s="2">
        <v>52.51</v>
      </c>
      <c r="M88" s="4">
        <v>113.85</v>
      </c>
      <c r="N88" s="5">
        <f t="shared" si="19"/>
        <v>-2.3957111744010717E-2</v>
      </c>
      <c r="O88" s="5">
        <f t="shared" si="26"/>
        <v>-0.10174628373502675</v>
      </c>
      <c r="P88" s="5">
        <f t="shared" si="27"/>
        <v>-1.9587414044592723E-2</v>
      </c>
      <c r="Q88" s="5">
        <f t="shared" si="28"/>
        <v>-3.7804117280099823E-2</v>
      </c>
      <c r="R88" s="5">
        <f t="shared" si="29"/>
        <v>7.6234038498187821E-4</v>
      </c>
      <c r="S88" s="5">
        <f t="shared" si="29"/>
        <v>-8.9658774373259156E-3</v>
      </c>
    </row>
    <row r="89" spans="1:19">
      <c r="A89" s="1">
        <v>38017</v>
      </c>
      <c r="B89" s="3">
        <f t="shared" si="20"/>
        <v>3.3647125140924476</v>
      </c>
      <c r="C89" s="3">
        <f t="shared" si="21"/>
        <v>2.7616580310880812</v>
      </c>
      <c r="D89" s="3">
        <f t="shared" si="22"/>
        <v>2.5271195365982098</v>
      </c>
      <c r="E89" s="3">
        <f t="shared" si="23"/>
        <v>2.5829842088301631</v>
      </c>
      <c r="F89" s="3">
        <f t="shared" si="24"/>
        <v>2.1583710407239822</v>
      </c>
      <c r="G89" s="3">
        <f t="shared" si="25"/>
        <v>1.4279676817899325</v>
      </c>
      <c r="H89" s="2">
        <v>59.69</v>
      </c>
      <c r="I89" s="2">
        <v>69.290000000000006</v>
      </c>
      <c r="J89" s="2">
        <v>47.99</v>
      </c>
      <c r="K89" s="2">
        <v>80.150000000000006</v>
      </c>
      <c r="L89" s="2">
        <v>52.47</v>
      </c>
      <c r="M89" s="4">
        <v>114.88</v>
      </c>
      <c r="N89" s="5">
        <f t="shared" si="19"/>
        <v>-3.336032388663971E-2</v>
      </c>
      <c r="O89" s="5">
        <f t="shared" si="26"/>
        <v>2.8872527789822769E-4</v>
      </c>
      <c r="P89" s="5">
        <f t="shared" si="27"/>
        <v>-2.101183190534478E-2</v>
      </c>
      <c r="Q89" s="5">
        <f t="shared" si="28"/>
        <v>-3.9889793962625757E-2</v>
      </c>
      <c r="R89" s="5">
        <f t="shared" si="29"/>
        <v>-4.5532157085942321E-3</v>
      </c>
      <c r="S89" s="5">
        <f t="shared" si="29"/>
        <v>-2.5862799966081668E-2</v>
      </c>
    </row>
    <row r="90" spans="1:19">
      <c r="A90" s="1">
        <v>37987</v>
      </c>
      <c r="B90" s="3">
        <f t="shared" si="20"/>
        <v>3.4808342728297643</v>
      </c>
      <c r="C90" s="3">
        <f t="shared" si="21"/>
        <v>2.7608609007572715</v>
      </c>
      <c r="D90" s="3">
        <f t="shared" si="22"/>
        <v>2.5813586097946288</v>
      </c>
      <c r="E90" s="3">
        <f t="shared" si="23"/>
        <v>2.6902997099581034</v>
      </c>
      <c r="F90" s="3">
        <f t="shared" si="24"/>
        <v>2.168243521184698</v>
      </c>
      <c r="G90" s="3">
        <f t="shared" si="25"/>
        <v>1.4658794282162844</v>
      </c>
      <c r="H90" s="2">
        <v>61.75</v>
      </c>
      <c r="I90" s="2">
        <v>69.27</v>
      </c>
      <c r="J90" s="2">
        <v>49.02</v>
      </c>
      <c r="K90" s="2">
        <v>83.48</v>
      </c>
      <c r="L90" s="2">
        <v>52.71</v>
      </c>
      <c r="M90" s="4">
        <v>117.93</v>
      </c>
      <c r="N90" s="5">
        <f t="shared" si="19"/>
        <v>-4.2784064486126261E-2</v>
      </c>
      <c r="O90" s="5">
        <f t="shared" si="26"/>
        <v>-4.901153212520603E-2</v>
      </c>
      <c r="P90" s="5">
        <f t="shared" si="27"/>
        <v>-4.070450097847355E-2</v>
      </c>
      <c r="Q90" s="5">
        <f t="shared" si="28"/>
        <v>2.5300908867600124E-2</v>
      </c>
      <c r="R90" s="5">
        <f t="shared" si="29"/>
        <v>7.3086319218241116E-2</v>
      </c>
      <c r="S90" s="5">
        <f t="shared" si="29"/>
        <v>-6.0468451242829742E-2</v>
      </c>
    </row>
    <row r="91" spans="1:19">
      <c r="A91" s="1">
        <v>37957</v>
      </c>
      <c r="B91" s="3">
        <f t="shared" si="20"/>
        <v>3.6364148816234514</v>
      </c>
      <c r="C91" s="3">
        <f t="shared" si="21"/>
        <v>2.903148664806694</v>
      </c>
      <c r="D91" s="3">
        <f t="shared" si="22"/>
        <v>2.6908899420747763</v>
      </c>
      <c r="E91" s="3">
        <f t="shared" si="23"/>
        <v>2.6239123428939717</v>
      </c>
      <c r="F91" s="3">
        <f t="shared" si="24"/>
        <v>2.0205676676264912</v>
      </c>
      <c r="G91" s="3">
        <f t="shared" si="25"/>
        <v>1.5602237414543203</v>
      </c>
      <c r="H91" s="2">
        <v>64.510000000000005</v>
      </c>
      <c r="I91" s="2">
        <v>72.84</v>
      </c>
      <c r="J91" s="2">
        <v>51.1</v>
      </c>
      <c r="K91" s="2">
        <v>81.42</v>
      </c>
      <c r="L91" s="2">
        <v>49.12</v>
      </c>
      <c r="M91" s="4">
        <v>125.52</v>
      </c>
      <c r="N91" s="5">
        <f t="shared" si="19"/>
        <v>2.364328784512856E-2</v>
      </c>
      <c r="O91" s="5">
        <f t="shared" si="26"/>
        <v>-5.4885169326586089E-2</v>
      </c>
      <c r="P91" s="5">
        <f t="shared" si="27"/>
        <v>8.7465418174079573E-2</v>
      </c>
      <c r="Q91" s="5">
        <f t="shared" si="28"/>
        <v>-4.8831775700934499E-2</v>
      </c>
      <c r="R91" s="5">
        <f t="shared" si="29"/>
        <v>-1.4446227929374115E-2</v>
      </c>
      <c r="S91" s="5">
        <f t="shared" si="29"/>
        <v>-1.126427727451758E-2</v>
      </c>
    </row>
    <row r="92" spans="1:19">
      <c r="A92" s="1">
        <v>37925</v>
      </c>
      <c r="B92" s="3">
        <f t="shared" si="20"/>
        <v>3.5524239007891789</v>
      </c>
      <c r="C92" s="3">
        <f t="shared" si="21"/>
        <v>3.0717417297728153</v>
      </c>
      <c r="D92" s="3">
        <f t="shared" si="22"/>
        <v>2.4744602422327544</v>
      </c>
      <c r="E92" s="3">
        <f t="shared" si="23"/>
        <v>2.7586206896551699</v>
      </c>
      <c r="F92" s="3">
        <f t="shared" si="24"/>
        <v>2.0501851090086389</v>
      </c>
      <c r="G92" s="3">
        <f t="shared" si="25"/>
        <v>1.5779987569919214</v>
      </c>
      <c r="H92" s="2">
        <v>63.02</v>
      </c>
      <c r="I92" s="2">
        <v>77.069999999999993</v>
      </c>
      <c r="J92" s="2">
        <v>46.99</v>
      </c>
      <c r="K92" s="2">
        <v>85.6</v>
      </c>
      <c r="L92" s="2">
        <v>49.84</v>
      </c>
      <c r="M92" s="4">
        <v>126.95</v>
      </c>
      <c r="N92" s="5">
        <f t="shared" si="19"/>
        <v>-1.9601742377100155E-2</v>
      </c>
      <c r="O92" s="5">
        <f t="shared" si="26"/>
        <v>-5.7939127246058049E-2</v>
      </c>
      <c r="P92" s="5">
        <f t="shared" si="27"/>
        <v>-5.8693910256410249E-2</v>
      </c>
      <c r="Q92" s="5">
        <f t="shared" si="28"/>
        <v>9.4339622641509101E-3</v>
      </c>
      <c r="R92" s="5">
        <f t="shared" si="29"/>
        <v>-2.770191182208339E-2</v>
      </c>
      <c r="S92" s="5">
        <f t="shared" si="29"/>
        <v>-3.8694532788126602E-2</v>
      </c>
    </row>
    <row r="93" spans="1:19">
      <c r="A93" s="1">
        <v>37894</v>
      </c>
      <c r="B93" s="3">
        <f t="shared" si="20"/>
        <v>3.6234498308906442</v>
      </c>
      <c r="C93" s="3">
        <f t="shared" si="21"/>
        <v>3.2606616181745696</v>
      </c>
      <c r="D93" s="3">
        <f t="shared" si="22"/>
        <v>2.6287519747235391</v>
      </c>
      <c r="E93" s="3">
        <f t="shared" si="23"/>
        <v>2.7328391878826919</v>
      </c>
      <c r="F93" s="3">
        <f t="shared" si="24"/>
        <v>2.1085972850678734</v>
      </c>
      <c r="G93" s="3">
        <f t="shared" si="25"/>
        <v>1.641516469857055</v>
      </c>
      <c r="H93" s="2">
        <v>64.28</v>
      </c>
      <c r="I93" s="2">
        <v>81.81</v>
      </c>
      <c r="J93" s="2">
        <v>49.92</v>
      </c>
      <c r="K93" s="2">
        <v>84.8</v>
      </c>
      <c r="L93" s="2">
        <v>51.26</v>
      </c>
      <c r="M93" s="4">
        <v>132.06</v>
      </c>
      <c r="N93" s="5">
        <f t="shared" si="19"/>
        <v>-4.8267693218833355E-2</v>
      </c>
      <c r="O93" s="5">
        <f t="shared" si="26"/>
        <v>-6.0950413223140522E-2</v>
      </c>
      <c r="P93" s="5">
        <f t="shared" si="27"/>
        <v>1.5873015873015896E-2</v>
      </c>
      <c r="Q93" s="5">
        <f t="shared" si="28"/>
        <v>1.4354066985645968E-2</v>
      </c>
      <c r="R93" s="5">
        <f t="shared" si="29"/>
        <v>-3.3054637371184464E-3</v>
      </c>
      <c r="S93" s="5">
        <f t="shared" si="29"/>
        <v>1.3585079438176455E-2</v>
      </c>
    </row>
    <row r="94" spans="1:19">
      <c r="A94" s="1">
        <v>37867</v>
      </c>
      <c r="B94" s="3">
        <f t="shared" si="20"/>
        <v>3.8072153325817384</v>
      </c>
      <c r="C94" s="3">
        <f t="shared" si="21"/>
        <v>3.4722997210043824</v>
      </c>
      <c r="D94" s="3">
        <f t="shared" si="22"/>
        <v>2.5876777251184837</v>
      </c>
      <c r="E94" s="3">
        <f t="shared" si="23"/>
        <v>2.6941669352239748</v>
      </c>
      <c r="F94" s="3">
        <f t="shared" si="24"/>
        <v>2.1155902920608805</v>
      </c>
      <c r="G94" s="3">
        <f t="shared" si="25"/>
        <v>1.6195152268489754</v>
      </c>
      <c r="H94" s="2">
        <v>67.540000000000006</v>
      </c>
      <c r="I94" s="2">
        <v>87.12</v>
      </c>
      <c r="J94" s="2">
        <v>49.14</v>
      </c>
      <c r="K94" s="2">
        <v>83.6</v>
      </c>
      <c r="L94" s="2">
        <v>51.43</v>
      </c>
      <c r="M94" s="4">
        <v>130.29</v>
      </c>
      <c r="N94" s="5">
        <f t="shared" si="19"/>
        <v>7.8396934376496946E-2</v>
      </c>
      <c r="O94" s="5">
        <f t="shared" si="26"/>
        <v>8.574277168494529E-2</v>
      </c>
      <c r="P94" s="5">
        <f t="shared" si="27"/>
        <v>5.9051724137931076E-2</v>
      </c>
      <c r="Q94" s="5">
        <f t="shared" si="28"/>
        <v>9.4240837696334928E-2</v>
      </c>
      <c r="R94" s="5">
        <f t="shared" si="29"/>
        <v>4.4688198253097763E-2</v>
      </c>
      <c r="S94" s="5">
        <f t="shared" si="29"/>
        <v>3.8663903061224449E-2</v>
      </c>
    </row>
    <row r="95" spans="1:19">
      <c r="A95" s="1">
        <v>37833</v>
      </c>
      <c r="B95" s="3">
        <f t="shared" si="20"/>
        <v>3.5304396843292012</v>
      </c>
      <c r="C95" s="3">
        <f t="shared" si="21"/>
        <v>3.1980868872060562</v>
      </c>
      <c r="D95" s="3">
        <f t="shared" si="22"/>
        <v>2.4433912585571353</v>
      </c>
      <c r="E95" s="3">
        <f t="shared" si="23"/>
        <v>2.4621334192716713</v>
      </c>
      <c r="F95" s="3">
        <f t="shared" si="24"/>
        <v>2.0250925545043192</v>
      </c>
      <c r="G95" s="3">
        <f t="shared" si="25"/>
        <v>1.5592293349906785</v>
      </c>
      <c r="H95" s="2">
        <v>62.63</v>
      </c>
      <c r="I95" s="2">
        <v>80.239999999999995</v>
      </c>
      <c r="J95" s="2">
        <v>46.4</v>
      </c>
      <c r="K95" s="2">
        <v>76.400000000000006</v>
      </c>
      <c r="L95" s="2">
        <v>49.23</v>
      </c>
      <c r="M95" s="4">
        <v>125.44</v>
      </c>
      <c r="N95" s="5">
        <f t="shared" si="19"/>
        <v>2.7226504838445197E-2</v>
      </c>
      <c r="O95" s="5">
        <f t="shared" si="26"/>
        <v>-6.195931727846634E-2</v>
      </c>
      <c r="P95" s="5">
        <f t="shared" si="27"/>
        <v>-1.9027484143763186E-2</v>
      </c>
      <c r="Q95" s="5">
        <f t="shared" si="28"/>
        <v>1.0314731552499352E-2</v>
      </c>
      <c r="R95" s="5">
        <f t="shared" si="29"/>
        <v>0.10803511141120858</v>
      </c>
      <c r="S95" s="5">
        <f t="shared" si="29"/>
        <v>1.2838110617682709E-2</v>
      </c>
    </row>
    <row r="96" spans="1:19">
      <c r="A96" s="1">
        <v>37803</v>
      </c>
      <c r="B96" s="3">
        <f t="shared" si="20"/>
        <v>3.4368658399098098</v>
      </c>
      <c r="C96" s="3">
        <f t="shared" si="21"/>
        <v>3.4093264248704647</v>
      </c>
      <c r="D96" s="3">
        <f t="shared" si="22"/>
        <v>2.4907846234860451</v>
      </c>
      <c r="E96" s="3">
        <f t="shared" si="23"/>
        <v>2.4369964550435048</v>
      </c>
      <c r="F96" s="3">
        <f t="shared" si="24"/>
        <v>1.8276429452900043</v>
      </c>
      <c r="G96" s="3">
        <f t="shared" si="25"/>
        <v>1.5394655065257934</v>
      </c>
      <c r="H96" s="2">
        <v>60.97</v>
      </c>
      <c r="I96" s="2">
        <v>85.54</v>
      </c>
      <c r="J96" s="2">
        <v>47.3</v>
      </c>
      <c r="K96" s="2">
        <v>75.62</v>
      </c>
      <c r="L96" s="2">
        <v>44.43</v>
      </c>
      <c r="M96" s="4">
        <v>123.85</v>
      </c>
      <c r="N96" s="5">
        <f t="shared" si="19"/>
        <v>2.8682301332883343E-2</v>
      </c>
      <c r="O96" s="5">
        <f t="shared" si="26"/>
        <v>7.5704225352112811E-2</v>
      </c>
      <c r="P96" s="5">
        <f t="shared" si="27"/>
        <v>2.1818967379563577E-2</v>
      </c>
      <c r="Q96" s="5">
        <f t="shared" si="28"/>
        <v>4.620918649695633E-2</v>
      </c>
      <c r="R96" s="5">
        <f t="shared" si="29"/>
        <v>2.7283236994219646E-2</v>
      </c>
      <c r="S96" s="5">
        <f t="shared" si="29"/>
        <v>-3.1286664059444663E-2</v>
      </c>
    </row>
    <row r="97" spans="1:19">
      <c r="A97" s="1">
        <v>37772</v>
      </c>
      <c r="B97" s="3">
        <f t="shared" si="20"/>
        <v>3.341037204058626</v>
      </c>
      <c r="C97" s="3">
        <f t="shared" si="21"/>
        <v>3.1693901952969292</v>
      </c>
      <c r="D97" s="3">
        <f t="shared" si="22"/>
        <v>2.4375987361769349</v>
      </c>
      <c r="E97" s="3">
        <f t="shared" si="23"/>
        <v>2.3293586851434083</v>
      </c>
      <c r="F97" s="3">
        <f t="shared" si="24"/>
        <v>1.7791032496914849</v>
      </c>
      <c r="G97" s="3">
        <f t="shared" si="25"/>
        <v>1.5891858297078942</v>
      </c>
      <c r="H97" s="2">
        <v>59.27</v>
      </c>
      <c r="I97" s="2">
        <v>79.52</v>
      </c>
      <c r="J97" s="2">
        <v>46.29</v>
      </c>
      <c r="K97" s="2">
        <v>72.28</v>
      </c>
      <c r="L97" s="2">
        <v>43.25</v>
      </c>
      <c r="M97" s="4">
        <v>127.85</v>
      </c>
      <c r="N97" s="5">
        <f t="shared" si="19"/>
        <v>5.4283290924512341E-3</v>
      </c>
      <c r="O97" s="5">
        <f t="shared" si="26"/>
        <v>-4.411587931241738E-2</v>
      </c>
      <c r="P97" s="5">
        <f t="shared" si="27"/>
        <v>-2.8133529288263768E-2</v>
      </c>
      <c r="Q97" s="5">
        <f t="shared" si="28"/>
        <v>-4.0488517191026113E-2</v>
      </c>
      <c r="R97" s="5">
        <f t="shared" si="29"/>
        <v>-2.612024318847099E-2</v>
      </c>
      <c r="S97" s="5">
        <f t="shared" si="29"/>
        <v>-1.4643545279383474E-2</v>
      </c>
    </row>
    <row r="98" spans="1:19">
      <c r="A98" s="1">
        <v>37741</v>
      </c>
      <c r="B98" s="3">
        <f t="shared" si="20"/>
        <v>3.3229988726042854</v>
      </c>
      <c r="C98" s="3">
        <f t="shared" si="21"/>
        <v>3.3156636110003967</v>
      </c>
      <c r="D98" s="3">
        <f t="shared" si="22"/>
        <v>2.5081621906266456</v>
      </c>
      <c r="E98" s="3">
        <f t="shared" si="23"/>
        <v>2.4276506606509813</v>
      </c>
      <c r="F98" s="3">
        <f t="shared" si="24"/>
        <v>1.8268202385849441</v>
      </c>
      <c r="G98" s="3">
        <f t="shared" si="25"/>
        <v>1.6128029832193922</v>
      </c>
      <c r="H98" s="2">
        <v>58.95</v>
      </c>
      <c r="I98" s="2">
        <v>83.19</v>
      </c>
      <c r="J98" s="2">
        <v>47.63</v>
      </c>
      <c r="K98" s="2">
        <v>75.33</v>
      </c>
      <c r="L98" s="2">
        <v>44.41</v>
      </c>
      <c r="M98" s="4">
        <v>129.75</v>
      </c>
      <c r="N98" s="5">
        <f t="shared" si="19"/>
        <v>5.5127975657777079E-2</v>
      </c>
      <c r="O98" s="5">
        <f t="shared" si="26"/>
        <v>8.5747846515270065E-2</v>
      </c>
      <c r="P98" s="5">
        <f t="shared" si="27"/>
        <v>7.3473067387874805E-2</v>
      </c>
      <c r="Q98" s="5">
        <f t="shared" si="28"/>
        <v>2.4061990212071723E-2</v>
      </c>
      <c r="R98" s="5">
        <f t="shared" si="29"/>
        <v>3.8344634089314787E-2</v>
      </c>
      <c r="S98" s="5">
        <f t="shared" si="29"/>
        <v>3.3946928042075109E-2</v>
      </c>
    </row>
    <row r="99" spans="1:19">
      <c r="A99" s="1">
        <v>37712</v>
      </c>
      <c r="B99" s="3">
        <f t="shared" si="20"/>
        <v>3.1493799323562577</v>
      </c>
      <c r="C99" s="3">
        <f t="shared" si="21"/>
        <v>3.0538062973296118</v>
      </c>
      <c r="D99" s="3">
        <f t="shared" si="22"/>
        <v>2.3364928909952605</v>
      </c>
      <c r="E99" s="3">
        <f t="shared" si="23"/>
        <v>2.3706090879793731</v>
      </c>
      <c r="F99" s="3">
        <f t="shared" si="24"/>
        <v>1.7593582887700534</v>
      </c>
      <c r="G99" s="3">
        <f t="shared" si="25"/>
        <v>1.5598508390304551</v>
      </c>
      <c r="H99" s="2">
        <v>55.87</v>
      </c>
      <c r="I99" s="2">
        <v>76.62</v>
      </c>
      <c r="J99" s="2">
        <v>44.37</v>
      </c>
      <c r="K99" s="2">
        <v>73.56</v>
      </c>
      <c r="L99" s="2">
        <v>42.77</v>
      </c>
      <c r="M99" s="4">
        <v>125.49</v>
      </c>
      <c r="N99" s="5">
        <f t="shared" ref="N99:N130" si="30">(H99-H100)/H100</f>
        <v>3.2717190388169982E-2</v>
      </c>
      <c r="O99" s="5">
        <f t="shared" si="26"/>
        <v>4.6006825938566615E-2</v>
      </c>
      <c r="P99" s="5">
        <f t="shared" si="27"/>
        <v>0.1762990455991516</v>
      </c>
      <c r="Q99" s="5">
        <f t="shared" si="28"/>
        <v>-9.0260002694328659E-3</v>
      </c>
      <c r="R99" s="5">
        <f t="shared" si="29"/>
        <v>2.0520162252445875E-2</v>
      </c>
      <c r="S99" s="5">
        <f t="shared" si="29"/>
        <v>4.4270616626445811E-2</v>
      </c>
    </row>
    <row r="100" spans="1:19">
      <c r="A100" s="1">
        <v>37680</v>
      </c>
      <c r="B100" s="3">
        <f t="shared" ref="B100:B131" si="31">B101*(1+N100)</f>
        <v>3.0496054114994369</v>
      </c>
      <c r="C100" s="3">
        <f t="shared" ref="C100:C131" si="32">C101*(1+O100)</f>
        <v>2.9194898365882804</v>
      </c>
      <c r="D100" s="3">
        <f t="shared" ref="D100:D131" si="33">D101*(1+P100)</f>
        <v>1.9863085834649814</v>
      </c>
      <c r="E100" s="3">
        <f t="shared" ref="E100:E131" si="34">E101*(1+Q100)</f>
        <v>2.3922010957138236</v>
      </c>
      <c r="F100" s="3">
        <f t="shared" ref="F100:F131" si="35">F101*(1+R100)</f>
        <v>1.7239819004524886</v>
      </c>
      <c r="G100" s="3">
        <f t="shared" si="25"/>
        <v>1.4937228091982613</v>
      </c>
      <c r="H100" s="2">
        <v>54.1</v>
      </c>
      <c r="I100" s="2">
        <v>73.25</v>
      </c>
      <c r="J100" s="2">
        <v>37.72</v>
      </c>
      <c r="K100" s="2">
        <v>74.23</v>
      </c>
      <c r="L100" s="2">
        <v>41.91</v>
      </c>
      <c r="M100" s="4">
        <v>120.17</v>
      </c>
      <c r="N100" s="5">
        <f t="shared" si="30"/>
        <v>-9.7016291414973657E-3</v>
      </c>
      <c r="O100" s="5">
        <f t="shared" si="26"/>
        <v>1.8917791069689795E-2</v>
      </c>
      <c r="P100" s="5">
        <f t="shared" si="27"/>
        <v>-7.3684210526316091E-3</v>
      </c>
      <c r="Q100" s="5">
        <f t="shared" si="28"/>
        <v>-2.5530771298037857E-3</v>
      </c>
      <c r="R100" s="5">
        <f t="shared" si="29"/>
        <v>-1.5503875968992335E-2</v>
      </c>
      <c r="S100" s="5">
        <f t="shared" si="29"/>
        <v>1.161713948985601E-2</v>
      </c>
    </row>
    <row r="101" spans="1:19">
      <c r="A101" s="1">
        <v>37652</v>
      </c>
      <c r="B101" s="3">
        <f t="shared" si="31"/>
        <v>3.0794813979706883</v>
      </c>
      <c r="C101" s="3">
        <f t="shared" si="32"/>
        <v>2.8652849740932624</v>
      </c>
      <c r="D101" s="3">
        <f t="shared" si="33"/>
        <v>2.0010531858873088</v>
      </c>
      <c r="E101" s="3">
        <f t="shared" si="34"/>
        <v>2.3983242023847873</v>
      </c>
      <c r="F101" s="3">
        <f t="shared" si="35"/>
        <v>1.7511312217194572</v>
      </c>
      <c r="G101" s="3">
        <f t="shared" si="25"/>
        <v>1.4765692977004365</v>
      </c>
      <c r="H101" s="2">
        <v>54.63</v>
      </c>
      <c r="I101" s="2">
        <v>71.89</v>
      </c>
      <c r="J101" s="2">
        <v>38</v>
      </c>
      <c r="K101" s="2">
        <v>74.42</v>
      </c>
      <c r="L101" s="2">
        <v>42.57</v>
      </c>
      <c r="M101" s="4">
        <v>118.79</v>
      </c>
      <c r="N101" s="5">
        <f t="shared" si="30"/>
        <v>-3.1211207660932754E-2</v>
      </c>
      <c r="O101" s="5">
        <f t="shared" si="26"/>
        <v>-2.2037817983947824E-2</v>
      </c>
      <c r="P101" s="5">
        <f t="shared" si="27"/>
        <v>2.095647501343367E-2</v>
      </c>
      <c r="Q101" s="5">
        <f t="shared" si="28"/>
        <v>4.1829712589394451E-3</v>
      </c>
      <c r="R101" s="5">
        <f t="shared" si="29"/>
        <v>3.174987881725648E-2</v>
      </c>
      <c r="S101" s="5">
        <f t="shared" si="29"/>
        <v>-1.9641825534373158E-2</v>
      </c>
    </row>
    <row r="102" spans="1:19">
      <c r="A102" s="1">
        <v>37623</v>
      </c>
      <c r="B102" s="3">
        <f t="shared" si="31"/>
        <v>3.1786922209695607</v>
      </c>
      <c r="C102" s="3">
        <f t="shared" si="32"/>
        <v>2.9298525308887986</v>
      </c>
      <c r="D102" s="3">
        <f t="shared" si="33"/>
        <v>1.9599789362822535</v>
      </c>
      <c r="E102" s="3">
        <f t="shared" si="34"/>
        <v>2.3883338704479522</v>
      </c>
      <c r="F102" s="3">
        <f t="shared" si="35"/>
        <v>1.6972439325380502</v>
      </c>
      <c r="G102" s="3">
        <f t="shared" si="25"/>
        <v>1.5061528899937864</v>
      </c>
      <c r="H102" s="2">
        <v>56.39</v>
      </c>
      <c r="I102" s="2">
        <v>73.510000000000005</v>
      </c>
      <c r="J102" s="2">
        <v>37.22</v>
      </c>
      <c r="K102" s="2">
        <v>74.11</v>
      </c>
      <c r="L102" s="2">
        <v>41.26</v>
      </c>
      <c r="M102" s="4">
        <v>121.17</v>
      </c>
      <c r="N102" s="5">
        <f t="shared" si="30"/>
        <v>8.7979934400926149E-2</v>
      </c>
      <c r="O102" s="5">
        <f t="shared" si="26"/>
        <v>8.229323823892588E-3</v>
      </c>
      <c r="P102" s="5">
        <f t="shared" si="27"/>
        <v>9.7666847531198975E-3</v>
      </c>
      <c r="Q102" s="5">
        <f t="shared" si="28"/>
        <v>5.5698005698005648E-2</v>
      </c>
      <c r="R102" s="5">
        <f t="shared" si="29"/>
        <v>-1.6916845365737451E-2</v>
      </c>
      <c r="S102" s="5">
        <f t="shared" si="29"/>
        <v>1.5079165619502363E-2</v>
      </c>
    </row>
    <row r="103" spans="1:19">
      <c r="A103" s="1">
        <v>37590</v>
      </c>
      <c r="B103" s="3">
        <f t="shared" si="31"/>
        <v>2.9216459977452085</v>
      </c>
      <c r="C103" s="3">
        <f t="shared" si="32"/>
        <v>2.9059386209645255</v>
      </c>
      <c r="D103" s="3">
        <f t="shared" si="33"/>
        <v>1.9410215903106895</v>
      </c>
      <c r="E103" s="3">
        <f t="shared" si="34"/>
        <v>2.2623267805349649</v>
      </c>
      <c r="F103" s="3">
        <f t="shared" si="35"/>
        <v>1.7264500205676676</v>
      </c>
      <c r="G103" s="3">
        <f t="shared" si="25"/>
        <v>1.4837787445618411</v>
      </c>
      <c r="H103" s="2">
        <v>51.83</v>
      </c>
      <c r="I103" s="2">
        <v>72.91</v>
      </c>
      <c r="J103" s="2">
        <v>36.86</v>
      </c>
      <c r="K103" s="2">
        <v>70.2</v>
      </c>
      <c r="L103" s="2">
        <v>41.97</v>
      </c>
      <c r="M103" s="4">
        <v>119.37</v>
      </c>
      <c r="N103" s="5">
        <f t="shared" si="30"/>
        <v>-3.1214953271028068E-2</v>
      </c>
      <c r="O103" s="5">
        <f t="shared" si="26"/>
        <v>3.4406826314340765E-3</v>
      </c>
      <c r="P103" s="5">
        <f t="shared" si="27"/>
        <v>5.2541404911479045E-2</v>
      </c>
      <c r="Q103" s="5">
        <f t="shared" si="28"/>
        <v>1.7833840800348034E-2</v>
      </c>
      <c r="R103" s="5">
        <f t="shared" si="29"/>
        <v>3.9118593711314639E-2</v>
      </c>
      <c r="S103" s="5">
        <f t="shared" si="29"/>
        <v>1.3327674023769163E-2</v>
      </c>
    </row>
    <row r="104" spans="1:19">
      <c r="A104" s="1">
        <v>37560</v>
      </c>
      <c r="B104" s="3">
        <f t="shared" si="31"/>
        <v>3.0157835400225479</v>
      </c>
      <c r="C104" s="3">
        <f t="shared" si="32"/>
        <v>2.8959744918294117</v>
      </c>
      <c r="D104" s="3">
        <f t="shared" si="33"/>
        <v>1.8441284886782519</v>
      </c>
      <c r="E104" s="3">
        <f t="shared" si="34"/>
        <v>2.2226877215597796</v>
      </c>
      <c r="F104" s="3">
        <f t="shared" si="35"/>
        <v>1.6614561908679557</v>
      </c>
      <c r="G104" s="3">
        <f t="shared" si="25"/>
        <v>1.4642635177128667</v>
      </c>
      <c r="H104" s="2">
        <v>53.5</v>
      </c>
      <c r="I104" s="2">
        <v>72.66</v>
      </c>
      <c r="J104" s="2">
        <v>35.020000000000003</v>
      </c>
      <c r="K104" s="2">
        <v>68.97</v>
      </c>
      <c r="L104" s="2">
        <v>40.39</v>
      </c>
      <c r="M104" s="4">
        <v>117.8</v>
      </c>
      <c r="N104" s="5">
        <f t="shared" si="30"/>
        <v>-1.4188317670904792E-2</v>
      </c>
      <c r="O104" s="5">
        <f t="shared" si="26"/>
        <v>0.11254019292604492</v>
      </c>
      <c r="P104" s="5">
        <f t="shared" si="27"/>
        <v>2.577621558289404E-2</v>
      </c>
      <c r="Q104" s="5">
        <f t="shared" si="28"/>
        <v>4.4525215810994966E-2</v>
      </c>
      <c r="R104" s="5">
        <f t="shared" si="29"/>
        <v>2.1755628636478608E-2</v>
      </c>
      <c r="S104" s="5">
        <f t="shared" si="29"/>
        <v>1.991341991341989E-2</v>
      </c>
    </row>
    <row r="105" spans="1:19">
      <c r="A105" s="1">
        <v>37530</v>
      </c>
      <c r="B105" s="3">
        <f t="shared" si="31"/>
        <v>3.0591882750845549</v>
      </c>
      <c r="C105" s="3">
        <f t="shared" si="32"/>
        <v>2.6030290952570723</v>
      </c>
      <c r="D105" s="3">
        <f t="shared" si="33"/>
        <v>1.7977883096366509</v>
      </c>
      <c r="E105" s="3">
        <f t="shared" si="34"/>
        <v>2.127940702545922</v>
      </c>
      <c r="F105" s="3">
        <f t="shared" si="35"/>
        <v>1.6260798025503909</v>
      </c>
      <c r="G105" s="3">
        <f t="shared" si="25"/>
        <v>1.4356743318831588</v>
      </c>
      <c r="H105" s="2">
        <v>54.27</v>
      </c>
      <c r="I105" s="2">
        <v>65.31</v>
      </c>
      <c r="J105" s="2">
        <v>34.14</v>
      </c>
      <c r="K105" s="2">
        <v>66.03</v>
      </c>
      <c r="L105" s="2">
        <v>39.53</v>
      </c>
      <c r="M105" s="4">
        <v>115.5</v>
      </c>
      <c r="N105" s="5">
        <f t="shared" si="30"/>
        <v>3.7468935194035574E-2</v>
      </c>
      <c r="O105" s="5">
        <f t="shared" si="26"/>
        <v>1.2715149635602534E-2</v>
      </c>
      <c r="P105" s="5">
        <f t="shared" si="27"/>
        <v>2.9864253393665219E-2</v>
      </c>
      <c r="Q105" s="5">
        <f t="shared" si="28"/>
        <v>1.009637448370807E-2</v>
      </c>
      <c r="R105" s="5">
        <f t="shared" si="29"/>
        <v>4.5767195767195873E-2</v>
      </c>
      <c r="S105" s="5">
        <f t="shared" si="29"/>
        <v>3.1526301687952139E-2</v>
      </c>
    </row>
    <row r="106" spans="1:19">
      <c r="A106" s="1">
        <v>37499</v>
      </c>
      <c r="B106" s="3">
        <f t="shared" si="31"/>
        <v>2.9487034949267192</v>
      </c>
      <c r="C106" s="3">
        <f t="shared" si="32"/>
        <v>2.5703467516938994</v>
      </c>
      <c r="D106" s="3">
        <f t="shared" si="33"/>
        <v>1.7456556082148498</v>
      </c>
      <c r="E106" s="3">
        <f t="shared" si="34"/>
        <v>2.1066709635836274</v>
      </c>
      <c r="F106" s="3">
        <f t="shared" si="35"/>
        <v>1.5549156725627313</v>
      </c>
      <c r="G106" s="3">
        <f t="shared" si="25"/>
        <v>1.3917961466749549</v>
      </c>
      <c r="H106" s="2">
        <v>52.31</v>
      </c>
      <c r="I106" s="2">
        <v>64.489999999999995</v>
      </c>
      <c r="J106" s="2">
        <v>33.15</v>
      </c>
      <c r="K106" s="2">
        <v>65.37</v>
      </c>
      <c r="L106" s="2">
        <v>37.799999999999997</v>
      </c>
      <c r="M106" s="4">
        <v>111.97</v>
      </c>
      <c r="N106" s="5">
        <f t="shared" si="30"/>
        <v>1.0235612205484764E-2</v>
      </c>
      <c r="O106" s="5">
        <f t="shared" si="26"/>
        <v>5.2726085537055128E-2</v>
      </c>
      <c r="P106" s="5">
        <f t="shared" si="27"/>
        <v>5.6405353728489468E-2</v>
      </c>
      <c r="Q106" s="5">
        <f t="shared" si="28"/>
        <v>4.1919030921262389E-2</v>
      </c>
      <c r="R106" s="5">
        <f t="shared" si="29"/>
        <v>1.694915254237276E-2</v>
      </c>
      <c r="S106" s="5">
        <f t="shared" si="29"/>
        <v>2.6965055489314847E-2</v>
      </c>
    </row>
    <row r="107" spans="1:19">
      <c r="A107" s="1">
        <v>37468</v>
      </c>
      <c r="B107" s="3">
        <f t="shared" si="31"/>
        <v>2.9188275084554678</v>
      </c>
      <c r="C107" s="3">
        <f t="shared" si="32"/>
        <v>2.4416102032682323</v>
      </c>
      <c r="D107" s="3">
        <f t="shared" si="33"/>
        <v>1.6524486571879937</v>
      </c>
      <c r="E107" s="3">
        <f t="shared" si="34"/>
        <v>2.0219142765066049</v>
      </c>
      <c r="F107" s="3">
        <f t="shared" si="35"/>
        <v>1.5290004113533526</v>
      </c>
      <c r="G107" s="3">
        <f t="shared" si="25"/>
        <v>1.3552517091361109</v>
      </c>
      <c r="H107" s="2">
        <v>51.78</v>
      </c>
      <c r="I107" s="2">
        <v>61.26</v>
      </c>
      <c r="J107" s="2">
        <v>31.38</v>
      </c>
      <c r="K107" s="2">
        <v>62.74</v>
      </c>
      <c r="L107" s="2">
        <v>37.17</v>
      </c>
      <c r="M107" s="4">
        <v>109.03</v>
      </c>
      <c r="N107" s="5">
        <f t="shared" si="30"/>
        <v>1.2712693135145678E-2</v>
      </c>
      <c r="O107" s="5">
        <f t="shared" si="26"/>
        <v>-2.869827176153484E-2</v>
      </c>
      <c r="P107" s="5">
        <f t="shared" si="27"/>
        <v>6.4143681847337814E-3</v>
      </c>
      <c r="Q107" s="5">
        <f t="shared" si="28"/>
        <v>4.0464344941956963E-2</v>
      </c>
      <c r="R107" s="5">
        <f t="shared" si="29"/>
        <v>4.7337278106508868E-2</v>
      </c>
      <c r="S107" s="5">
        <f t="shared" si="29"/>
        <v>2.1836925960637285E-2</v>
      </c>
    </row>
    <row r="108" spans="1:19">
      <c r="A108" s="1">
        <v>37439</v>
      </c>
      <c r="B108" s="3">
        <f t="shared" si="31"/>
        <v>2.8821871476888385</v>
      </c>
      <c r="C108" s="3">
        <f t="shared" si="32"/>
        <v>2.5137504982064547</v>
      </c>
      <c r="D108" s="3">
        <f t="shared" si="33"/>
        <v>1.6419167983149028</v>
      </c>
      <c r="E108" s="3">
        <f t="shared" si="34"/>
        <v>1.9432806961005462</v>
      </c>
      <c r="F108" s="3">
        <f t="shared" si="35"/>
        <v>1.4598930481283423</v>
      </c>
      <c r="G108" s="3">
        <f t="shared" si="25"/>
        <v>1.3262896208825372</v>
      </c>
      <c r="H108" s="2">
        <v>51.13</v>
      </c>
      <c r="I108" s="2">
        <v>63.07</v>
      </c>
      <c r="J108" s="2">
        <v>31.18</v>
      </c>
      <c r="K108" s="2">
        <v>60.3</v>
      </c>
      <c r="L108" s="2">
        <v>35.49</v>
      </c>
      <c r="M108" s="4">
        <v>106.7</v>
      </c>
      <c r="N108" s="5">
        <f t="shared" si="30"/>
        <v>-1.9370924434215536E-2</v>
      </c>
      <c r="O108" s="5">
        <f t="shared" si="26"/>
        <v>-5.4847894500224842E-2</v>
      </c>
      <c r="P108" s="5">
        <f t="shared" si="27"/>
        <v>-3.9728980597474567E-2</v>
      </c>
      <c r="Q108" s="5">
        <f t="shared" si="28"/>
        <v>0.11070178670104988</v>
      </c>
      <c r="R108" s="5">
        <f t="shared" si="29"/>
        <v>1.661415067315971E-2</v>
      </c>
      <c r="S108" s="5">
        <f t="shared" si="29"/>
        <v>4.5189229900207493E-3</v>
      </c>
    </row>
    <row r="109" spans="1:19">
      <c r="A109" s="1">
        <v>37407</v>
      </c>
      <c r="B109" s="3">
        <f t="shared" si="31"/>
        <v>2.9391206313416003</v>
      </c>
      <c r="C109" s="3">
        <f t="shared" si="32"/>
        <v>2.6596253487445178</v>
      </c>
      <c r="D109" s="3">
        <f t="shared" si="33"/>
        <v>1.7098472880463402</v>
      </c>
      <c r="E109" s="3">
        <f t="shared" si="34"/>
        <v>1.7495971640348038</v>
      </c>
      <c r="F109" s="3">
        <f t="shared" si="35"/>
        <v>1.4360345536816124</v>
      </c>
      <c r="G109" s="3">
        <f t="shared" si="25"/>
        <v>1.3203231821006851</v>
      </c>
      <c r="H109" s="2">
        <v>52.14</v>
      </c>
      <c r="I109" s="2">
        <v>66.73</v>
      </c>
      <c r="J109" s="2">
        <v>32.47</v>
      </c>
      <c r="K109" s="2">
        <v>54.29</v>
      </c>
      <c r="L109" s="2">
        <v>34.909999999999997</v>
      </c>
      <c r="M109" s="4">
        <v>106.22</v>
      </c>
      <c r="N109" s="5">
        <f t="shared" si="30"/>
        <v>1.4396887159533113E-2</v>
      </c>
      <c r="O109" s="5">
        <f t="shared" si="26"/>
        <v>-1.6071955175464309E-2</v>
      </c>
      <c r="P109" s="5">
        <f t="shared" si="27"/>
        <v>-2.139843279083788E-2</v>
      </c>
      <c r="Q109" s="5">
        <f t="shared" si="28"/>
        <v>-1.0390083849799494E-2</v>
      </c>
      <c r="R109" s="5">
        <f t="shared" si="29"/>
        <v>-2.7847396268448902E-2</v>
      </c>
      <c r="S109" s="5">
        <f t="shared" si="29"/>
        <v>2.5483718735252103E-3</v>
      </c>
    </row>
    <row r="110" spans="1:19">
      <c r="A110" s="1">
        <v>37376</v>
      </c>
      <c r="B110" s="3">
        <f t="shared" si="31"/>
        <v>2.897406989853438</v>
      </c>
      <c r="C110" s="3">
        <f t="shared" si="32"/>
        <v>2.7030689517736128</v>
      </c>
      <c r="D110" s="3">
        <f t="shared" si="33"/>
        <v>1.7472353870458137</v>
      </c>
      <c r="E110" s="3">
        <f t="shared" si="34"/>
        <v>1.7679664840476945</v>
      </c>
      <c r="F110" s="3">
        <f t="shared" si="35"/>
        <v>1.4771698889345948</v>
      </c>
      <c r="G110" s="3">
        <f t="shared" si="25"/>
        <v>1.3169670602858932</v>
      </c>
      <c r="H110" s="2">
        <v>51.4</v>
      </c>
      <c r="I110" s="2">
        <v>67.819999999999993</v>
      </c>
      <c r="J110" s="2">
        <v>33.18</v>
      </c>
      <c r="K110" s="2">
        <v>54.86</v>
      </c>
      <c r="L110" s="2">
        <v>35.909999999999997</v>
      </c>
      <c r="M110" s="4">
        <v>105.95</v>
      </c>
      <c r="N110" s="5">
        <f t="shared" si="30"/>
        <v>-5.8331713007974209E-4</v>
      </c>
      <c r="O110" s="5">
        <f t="shared" si="26"/>
        <v>8.8547815820525465E-4</v>
      </c>
      <c r="P110" s="5">
        <f t="shared" si="27"/>
        <v>-2.5836758661186215E-2</v>
      </c>
      <c r="Q110" s="5">
        <f t="shared" si="28"/>
        <v>-4.0909090909090964E-2</v>
      </c>
      <c r="R110" s="5">
        <f t="shared" si="29"/>
        <v>3.5765791750793044E-2</v>
      </c>
      <c r="S110" s="5">
        <f t="shared" si="29"/>
        <v>-3.0117173196631198E-2</v>
      </c>
    </row>
    <row r="111" spans="1:19">
      <c r="A111" s="1">
        <v>37348</v>
      </c>
      <c r="B111" s="3">
        <f t="shared" si="31"/>
        <v>2.8990980834272824</v>
      </c>
      <c r="C111" s="3">
        <f t="shared" si="32"/>
        <v>2.7006775607811861</v>
      </c>
      <c r="D111" s="3">
        <f t="shared" si="33"/>
        <v>1.7935755660874146</v>
      </c>
      <c r="E111" s="3">
        <f t="shared" si="34"/>
        <v>1.8433773767321935</v>
      </c>
      <c r="F111" s="3">
        <f t="shared" si="35"/>
        <v>1.4261620732208971</v>
      </c>
      <c r="G111" s="3">
        <f t="shared" si="25"/>
        <v>1.3578620261031709</v>
      </c>
      <c r="H111" s="2">
        <v>51.43</v>
      </c>
      <c r="I111" s="2">
        <v>67.760000000000005</v>
      </c>
      <c r="J111" s="2">
        <v>34.06</v>
      </c>
      <c r="K111" s="2">
        <v>57.2</v>
      </c>
      <c r="L111" s="2">
        <v>34.67</v>
      </c>
      <c r="M111" s="4">
        <v>109.24</v>
      </c>
      <c r="N111" s="5">
        <f t="shared" si="30"/>
        <v>8.3649388959123452E-2</v>
      </c>
      <c r="O111" s="5">
        <f t="shared" si="26"/>
        <v>7.0965702544649942E-2</v>
      </c>
      <c r="P111" s="5">
        <f t="shared" si="27"/>
        <v>-6.4177362893815303E-3</v>
      </c>
      <c r="Q111" s="5">
        <f t="shared" si="28"/>
        <v>1.0243730130695962E-2</v>
      </c>
      <c r="R111" s="5">
        <f t="shared" si="29"/>
        <v>-2.9123494819378301E-2</v>
      </c>
      <c r="S111" s="5">
        <f t="shared" si="29"/>
        <v>1.2606599925843525E-2</v>
      </c>
    </row>
    <row r="112" spans="1:19">
      <c r="A112" s="1">
        <v>37315</v>
      </c>
      <c r="B112" s="3">
        <f t="shared" si="31"/>
        <v>2.6753100338218712</v>
      </c>
      <c r="C112" s="3">
        <f t="shared" si="32"/>
        <v>2.5217218015145462</v>
      </c>
      <c r="D112" s="3">
        <f t="shared" si="33"/>
        <v>1.8051606108478149</v>
      </c>
      <c r="E112" s="3">
        <f t="shared" si="34"/>
        <v>1.8246857879471468</v>
      </c>
      <c r="F112" s="3">
        <f t="shared" si="35"/>
        <v>1.4689428218839986</v>
      </c>
      <c r="G112" s="3">
        <f t="shared" si="25"/>
        <v>1.3409571162212566</v>
      </c>
      <c r="H112" s="2">
        <v>47.46</v>
      </c>
      <c r="I112" s="2">
        <v>63.27</v>
      </c>
      <c r="J112" s="2">
        <v>34.28</v>
      </c>
      <c r="K112" s="2">
        <v>56.62</v>
      </c>
      <c r="L112" s="2">
        <v>35.71</v>
      </c>
      <c r="M112" s="4">
        <v>107.88</v>
      </c>
      <c r="N112" s="5">
        <f t="shared" si="30"/>
        <v>-9.1858037578287626E-3</v>
      </c>
      <c r="O112" s="5">
        <f t="shared" si="26"/>
        <v>7.200948830904777E-2</v>
      </c>
      <c r="P112" s="5">
        <f t="shared" si="27"/>
        <v>4.4485070079220014E-2</v>
      </c>
      <c r="Q112" s="5">
        <f t="shared" si="28"/>
        <v>3.0954115076474793E-2</v>
      </c>
      <c r="R112" s="5">
        <f t="shared" si="29"/>
        <v>5.6196391600118259E-2</v>
      </c>
      <c r="S112" s="5">
        <f t="shared" si="29"/>
        <v>1.6584998115341035E-2</v>
      </c>
    </row>
    <row r="113" spans="1:19">
      <c r="A113" s="1">
        <v>37287</v>
      </c>
      <c r="B113" s="3">
        <f t="shared" si="31"/>
        <v>2.7001127395715891</v>
      </c>
      <c r="C113" s="3">
        <f t="shared" si="32"/>
        <v>2.3523316062176152</v>
      </c>
      <c r="D113" s="3">
        <f t="shared" si="33"/>
        <v>1.7282780410742498</v>
      </c>
      <c r="E113" s="3">
        <f t="shared" si="34"/>
        <v>1.7699000966806309</v>
      </c>
      <c r="F113" s="3">
        <f t="shared" si="35"/>
        <v>1.3907856849033322</v>
      </c>
      <c r="G113" s="3">
        <f t="shared" si="25"/>
        <v>1.3190801740211324</v>
      </c>
      <c r="H113" s="2">
        <v>47.9</v>
      </c>
      <c r="I113" s="2">
        <v>59.02</v>
      </c>
      <c r="J113" s="2">
        <v>32.82</v>
      </c>
      <c r="K113" s="2">
        <v>54.92</v>
      </c>
      <c r="L113" s="2">
        <v>33.81</v>
      </c>
      <c r="M113" s="4">
        <v>106.12</v>
      </c>
      <c r="N113" s="5">
        <f t="shared" si="30"/>
        <v>6.0911573198907613E-3</v>
      </c>
      <c r="O113" s="5">
        <f t="shared" si="26"/>
        <v>6.8622125656346303E-2</v>
      </c>
      <c r="P113" s="5">
        <f t="shared" si="27"/>
        <v>7.1848465055519242E-2</v>
      </c>
      <c r="Q113" s="5">
        <f t="shared" si="28"/>
        <v>8.1528160693186302E-2</v>
      </c>
      <c r="R113" s="5">
        <f t="shared" si="29"/>
        <v>5.9210526315789491E-2</v>
      </c>
      <c r="S113" s="5">
        <f t="shared" si="29"/>
        <v>5.6861258529189588E-3</v>
      </c>
    </row>
    <row r="114" spans="1:19">
      <c r="A114" s="1">
        <v>37258</v>
      </c>
      <c r="B114" s="3">
        <f t="shared" si="31"/>
        <v>2.6837655016910933</v>
      </c>
      <c r="C114" s="3">
        <f t="shared" si="32"/>
        <v>2.2012754085292929</v>
      </c>
      <c r="D114" s="3">
        <f t="shared" si="33"/>
        <v>1.6124275934702474</v>
      </c>
      <c r="E114" s="3">
        <f t="shared" si="34"/>
        <v>1.6364808250080558</v>
      </c>
      <c r="F114" s="3">
        <f t="shared" si="35"/>
        <v>1.3130399012751957</v>
      </c>
      <c r="G114" s="3">
        <f t="shared" si="25"/>
        <v>1.3116221255438172</v>
      </c>
      <c r="H114" s="2">
        <v>47.61</v>
      </c>
      <c r="I114" s="2">
        <v>55.23</v>
      </c>
      <c r="J114" s="2">
        <v>30.62</v>
      </c>
      <c r="K114" s="2">
        <v>50.78</v>
      </c>
      <c r="L114" s="2">
        <v>31.92</v>
      </c>
      <c r="M114" s="4">
        <v>105.52</v>
      </c>
      <c r="N114" s="5">
        <f t="shared" si="30"/>
        <v>4.4078947368421009E-2</v>
      </c>
      <c r="O114" s="5">
        <f t="shared" si="26"/>
        <v>-2.7469624933967287E-2</v>
      </c>
      <c r="P114" s="5">
        <f t="shared" si="27"/>
        <v>3.1323678006062637E-2</v>
      </c>
      <c r="Q114" s="5">
        <f t="shared" si="28"/>
        <v>6.3232830820770594E-2</v>
      </c>
      <c r="R114" s="5">
        <f t="shared" si="29"/>
        <v>2.0460358056266004E-2</v>
      </c>
      <c r="S114" s="5">
        <f t="shared" si="29"/>
        <v>2.3968947113051906E-2</v>
      </c>
    </row>
    <row r="115" spans="1:19">
      <c r="A115" s="1">
        <v>37225</v>
      </c>
      <c r="B115" s="3">
        <f t="shared" si="31"/>
        <v>2.5704622322435169</v>
      </c>
      <c r="C115" s="3">
        <f t="shared" si="32"/>
        <v>2.263451574332402</v>
      </c>
      <c r="D115" s="3">
        <f t="shared" si="33"/>
        <v>1.563454449710374</v>
      </c>
      <c r="E115" s="3">
        <f t="shared" si="34"/>
        <v>1.5391556558169504</v>
      </c>
      <c r="F115" s="3">
        <f t="shared" si="35"/>
        <v>1.2867132867132871</v>
      </c>
      <c r="G115" s="3">
        <f t="shared" si="25"/>
        <v>1.2809198259788699</v>
      </c>
      <c r="H115" s="2">
        <v>45.6</v>
      </c>
      <c r="I115" s="2">
        <v>56.79</v>
      </c>
      <c r="J115" s="2">
        <v>29.69</v>
      </c>
      <c r="K115" s="2">
        <v>47.76</v>
      </c>
      <c r="L115" s="2">
        <v>31.28</v>
      </c>
      <c r="M115" s="4">
        <v>103.05</v>
      </c>
      <c r="N115" s="5">
        <f t="shared" si="30"/>
        <v>3.8251366120218573E-2</v>
      </c>
      <c r="O115" s="5">
        <f t="shared" si="26"/>
        <v>3.0110647560311926E-2</v>
      </c>
      <c r="P115" s="5">
        <f t="shared" si="27"/>
        <v>1.9224167524888511E-2</v>
      </c>
      <c r="Q115" s="5">
        <f t="shared" si="28"/>
        <v>4.9901077159815253E-2</v>
      </c>
      <c r="R115" s="5">
        <f t="shared" si="29"/>
        <v>5.0722203560631562E-2</v>
      </c>
      <c r="S115" s="5">
        <f t="shared" si="29"/>
        <v>-1.8403719488570103E-3</v>
      </c>
    </row>
    <row r="116" spans="1:19">
      <c r="A116" s="1">
        <v>37195</v>
      </c>
      <c r="B116" s="3">
        <f t="shared" si="31"/>
        <v>2.4757609921082295</v>
      </c>
      <c r="C116" s="3">
        <f t="shared" si="32"/>
        <v>2.1972897568752479</v>
      </c>
      <c r="D116" s="3">
        <f t="shared" si="33"/>
        <v>1.5339652448657186</v>
      </c>
      <c r="E116" s="3">
        <f t="shared" si="34"/>
        <v>1.4660006445375435</v>
      </c>
      <c r="F116" s="3">
        <f t="shared" si="35"/>
        <v>1.2245989304812837</v>
      </c>
      <c r="G116" s="3">
        <f t="shared" si="25"/>
        <v>1.2832815413300196</v>
      </c>
      <c r="H116" s="2">
        <v>43.92</v>
      </c>
      <c r="I116" s="2">
        <v>55.13</v>
      </c>
      <c r="J116" s="2">
        <v>29.13</v>
      </c>
      <c r="K116" s="2">
        <v>45.49</v>
      </c>
      <c r="L116" s="2">
        <v>29.77</v>
      </c>
      <c r="M116" s="4">
        <v>103.24</v>
      </c>
      <c r="N116" s="5">
        <f t="shared" si="30"/>
        <v>5.4248679788766331E-2</v>
      </c>
      <c r="O116" s="5">
        <f t="shared" si="26"/>
        <v>5.8970418747598924E-2</v>
      </c>
      <c r="P116" s="5">
        <f t="shared" si="27"/>
        <v>7.4511250461084463E-2</v>
      </c>
      <c r="Q116" s="5">
        <f t="shared" si="28"/>
        <v>5.7483970815831341E-3</v>
      </c>
      <c r="R116" s="5">
        <f t="shared" si="29"/>
        <v>3.9818372336709769E-2</v>
      </c>
      <c r="S116" s="5">
        <f t="shared" si="29"/>
        <v>4.3882709807886645E-2</v>
      </c>
    </row>
    <row r="117" spans="1:19">
      <c r="A117" s="1">
        <v>37166</v>
      </c>
      <c r="B117" s="3">
        <f t="shared" si="31"/>
        <v>2.34836527621195</v>
      </c>
      <c r="C117" s="3">
        <f t="shared" si="32"/>
        <v>2.074930251096053</v>
      </c>
      <c r="D117" s="3">
        <f t="shared" si="33"/>
        <v>1.4275934702474984</v>
      </c>
      <c r="E117" s="3">
        <f t="shared" si="34"/>
        <v>1.4576216564614881</v>
      </c>
      <c r="F117" s="3">
        <f t="shared" si="35"/>
        <v>1.1777046482928837</v>
      </c>
      <c r="G117" s="3">
        <f t="shared" si="25"/>
        <v>1.2293349906774405</v>
      </c>
      <c r="H117" s="2">
        <v>41.66</v>
      </c>
      <c r="I117" s="2">
        <v>52.06</v>
      </c>
      <c r="J117" s="2">
        <v>27.11</v>
      </c>
      <c r="K117" s="2">
        <v>45.23</v>
      </c>
      <c r="L117" s="2">
        <v>28.63</v>
      </c>
      <c r="M117" s="4">
        <v>98.9</v>
      </c>
      <c r="N117" s="5">
        <f t="shared" si="30"/>
        <v>-1.0686297791498524E-2</v>
      </c>
      <c r="O117" s="5">
        <f t="shared" si="26"/>
        <v>-4.8784944271880043E-2</v>
      </c>
      <c r="P117" s="5">
        <f t="shared" si="27"/>
        <v>-8.7819650067294738E-2</v>
      </c>
      <c r="Q117" s="5">
        <f t="shared" si="28"/>
        <v>-7.8964685237992212E-3</v>
      </c>
      <c r="R117" s="5">
        <f t="shared" si="29"/>
        <v>-2.8173794976239029E-2</v>
      </c>
      <c r="S117" s="5">
        <f t="shared" si="29"/>
        <v>-2.3595616546549514E-2</v>
      </c>
    </row>
    <row r="118" spans="1:19">
      <c r="A118" s="1">
        <v>37134</v>
      </c>
      <c r="B118" s="3">
        <f t="shared" si="31"/>
        <v>2.3737316798196164</v>
      </c>
      <c r="C118" s="3">
        <f t="shared" si="32"/>
        <v>2.1813471502590658</v>
      </c>
      <c r="D118" s="3">
        <f t="shared" si="33"/>
        <v>1.5650342285413372</v>
      </c>
      <c r="E118" s="3">
        <f t="shared" si="34"/>
        <v>1.4692233322591035</v>
      </c>
      <c r="F118" s="3">
        <f t="shared" si="35"/>
        <v>1.2118469765528592</v>
      </c>
      <c r="G118" s="3">
        <f t="shared" si="25"/>
        <v>1.2590428837787457</v>
      </c>
      <c r="H118" s="2">
        <v>42.11</v>
      </c>
      <c r="I118" s="2">
        <v>54.73</v>
      </c>
      <c r="J118" s="2">
        <v>29.72</v>
      </c>
      <c r="K118" s="2">
        <v>45.59</v>
      </c>
      <c r="L118" s="2">
        <v>29.46</v>
      </c>
      <c r="M118" s="4">
        <v>101.29</v>
      </c>
      <c r="N118" s="5">
        <f t="shared" si="30"/>
        <v>3.6681437715411179E-2</v>
      </c>
      <c r="O118" s="5">
        <f t="shared" si="26"/>
        <v>1.3894034827713968E-2</v>
      </c>
      <c r="P118" s="5">
        <f t="shared" si="27"/>
        <v>-2.0435069215557055E-2</v>
      </c>
      <c r="Q118" s="5">
        <f t="shared" si="28"/>
        <v>-1.9359001935900164E-2</v>
      </c>
      <c r="R118" s="5">
        <f t="shared" si="29"/>
        <v>-2.4826216484607744E-2</v>
      </c>
      <c r="S118" s="5">
        <f t="shared" si="29"/>
        <v>7.9609911433974664E-3</v>
      </c>
    </row>
    <row r="119" spans="1:19">
      <c r="A119" s="1">
        <v>37103</v>
      </c>
      <c r="B119" s="3">
        <f t="shared" si="31"/>
        <v>2.2897406989853435</v>
      </c>
      <c r="C119" s="3">
        <f t="shared" si="32"/>
        <v>2.1514547628537253</v>
      </c>
      <c r="D119" s="3">
        <f t="shared" si="33"/>
        <v>1.5976829910479198</v>
      </c>
      <c r="E119" s="3">
        <f t="shared" si="34"/>
        <v>1.4982275217531413</v>
      </c>
      <c r="F119" s="3">
        <f t="shared" si="35"/>
        <v>1.2426984779925958</v>
      </c>
      <c r="G119" s="3">
        <f t="shared" si="25"/>
        <v>1.2490988191423253</v>
      </c>
      <c r="H119" s="2">
        <v>40.619999999999997</v>
      </c>
      <c r="I119" s="2">
        <v>53.98</v>
      </c>
      <c r="J119" s="2">
        <v>30.34</v>
      </c>
      <c r="K119" s="2">
        <v>46.49</v>
      </c>
      <c r="L119" s="2">
        <v>30.21</v>
      </c>
      <c r="M119" s="4">
        <v>100.49</v>
      </c>
      <c r="N119" s="5">
        <f t="shared" si="30"/>
        <v>-9.509875640087798E-3</v>
      </c>
      <c r="O119" s="5">
        <f t="shared" si="26"/>
        <v>1.9067396639607288E-2</v>
      </c>
      <c r="P119" s="5">
        <f t="shared" si="27"/>
        <v>-2.0025839793281687E-2</v>
      </c>
      <c r="Q119" s="5">
        <f t="shared" si="28"/>
        <v>1.5079707022835045E-3</v>
      </c>
      <c r="R119" s="5">
        <f t="shared" si="29"/>
        <v>-2.9702970297029656E-3</v>
      </c>
      <c r="S119" s="5">
        <f t="shared" si="29"/>
        <v>-9.3651419558359907E-3</v>
      </c>
    </row>
    <row r="120" spans="1:19">
      <c r="A120" s="1">
        <v>37072</v>
      </c>
      <c r="B120" s="3">
        <f t="shared" si="31"/>
        <v>2.3117249154453208</v>
      </c>
      <c r="C120" s="3">
        <f t="shared" si="32"/>
        <v>2.1111996811478666</v>
      </c>
      <c r="D120" s="3">
        <f t="shared" si="33"/>
        <v>1.6303317535545021</v>
      </c>
      <c r="E120" s="3">
        <f t="shared" si="34"/>
        <v>1.4959716403480494</v>
      </c>
      <c r="F120" s="3">
        <f t="shared" si="35"/>
        <v>1.2464006581653642</v>
      </c>
      <c r="G120" s="3">
        <f t="shared" si="25"/>
        <v>1.2609073958980743</v>
      </c>
      <c r="H120" s="2">
        <v>41.01</v>
      </c>
      <c r="I120" s="2">
        <v>52.97</v>
      </c>
      <c r="J120" s="2">
        <v>30.96</v>
      </c>
      <c r="K120" s="2">
        <v>46.42</v>
      </c>
      <c r="L120" s="2">
        <v>30.3</v>
      </c>
      <c r="M120" s="4">
        <v>101.44</v>
      </c>
      <c r="N120" s="5">
        <f t="shared" si="30"/>
        <v>-1.2521069106669952E-2</v>
      </c>
      <c r="O120" s="5">
        <f t="shared" si="26"/>
        <v>1.8882175226582346E-4</v>
      </c>
      <c r="P120" s="5">
        <f t="shared" si="27"/>
        <v>7.2022160664820006E-2</v>
      </c>
      <c r="Q120" s="5">
        <f t="shared" si="28"/>
        <v>-3.8126813095731377E-2</v>
      </c>
      <c r="R120" s="5">
        <f t="shared" si="29"/>
        <v>5.6422170594092836E-3</v>
      </c>
      <c r="S120" s="5">
        <f t="shared" si="29"/>
        <v>3.8280450358239453E-2</v>
      </c>
    </row>
    <row r="121" spans="1:19">
      <c r="A121" s="1">
        <v>37042</v>
      </c>
      <c r="B121" s="3">
        <f t="shared" si="31"/>
        <v>2.3410372040586243</v>
      </c>
      <c r="C121" s="3">
        <f t="shared" si="32"/>
        <v>2.1108011159824622</v>
      </c>
      <c r="D121" s="3">
        <f t="shared" si="33"/>
        <v>1.5208004212743547</v>
      </c>
      <c r="E121" s="3">
        <f t="shared" si="34"/>
        <v>1.5552690944247494</v>
      </c>
      <c r="F121" s="3">
        <f t="shared" si="35"/>
        <v>1.2394076511723571</v>
      </c>
      <c r="G121" s="3">
        <f t="shared" si="25"/>
        <v>1.2144188937228102</v>
      </c>
      <c r="H121" s="2">
        <v>41.53</v>
      </c>
      <c r="I121" s="2">
        <v>52.96</v>
      </c>
      <c r="J121" s="2">
        <v>28.88</v>
      </c>
      <c r="K121" s="2">
        <v>48.26</v>
      </c>
      <c r="L121" s="2">
        <v>30.13</v>
      </c>
      <c r="M121" s="4">
        <v>97.7</v>
      </c>
      <c r="N121" s="5">
        <f t="shared" si="30"/>
        <v>-3.7543453070683602E-2</v>
      </c>
      <c r="O121" s="5">
        <f t="shared" si="26"/>
        <v>3.2761310452418091E-2</v>
      </c>
      <c r="P121" s="5">
        <f t="shared" si="27"/>
        <v>1.1204481792717097E-2</v>
      </c>
      <c r="Q121" s="5">
        <f t="shared" si="28"/>
        <v>-2.0716801325885883E-4</v>
      </c>
      <c r="R121" s="5">
        <f t="shared" si="29"/>
        <v>4.3333333333333002E-3</v>
      </c>
      <c r="S121" s="5">
        <f t="shared" si="29"/>
        <v>1.5376729882112322E-3</v>
      </c>
    </row>
    <row r="122" spans="1:19">
      <c r="A122" s="1">
        <v>37012</v>
      </c>
      <c r="B122" s="3">
        <f t="shared" si="31"/>
        <v>2.4323562570462229</v>
      </c>
      <c r="C122" s="3">
        <f t="shared" si="32"/>
        <v>2.0438421681944989</v>
      </c>
      <c r="D122" s="3">
        <f t="shared" si="33"/>
        <v>1.5039494470774091</v>
      </c>
      <c r="E122" s="3">
        <f t="shared" si="34"/>
        <v>1.5555913631969054</v>
      </c>
      <c r="F122" s="3">
        <f t="shared" si="35"/>
        <v>1.2340600575894694</v>
      </c>
      <c r="G122" s="3">
        <f t="shared" si="25"/>
        <v>1.2125543816034814</v>
      </c>
      <c r="H122" s="2">
        <v>43.15</v>
      </c>
      <c r="I122" s="2">
        <v>51.28</v>
      </c>
      <c r="J122" s="2">
        <v>28.56</v>
      </c>
      <c r="K122" s="2">
        <v>48.27</v>
      </c>
      <c r="L122" s="2">
        <v>30</v>
      </c>
      <c r="M122" s="4">
        <v>97.55</v>
      </c>
      <c r="N122" s="5">
        <f t="shared" si="30"/>
        <v>5.3466796874999944E-2</v>
      </c>
      <c r="O122" s="5">
        <f t="shared" si="26"/>
        <v>7.7990330039941158E-2</v>
      </c>
      <c r="P122" s="5">
        <f t="shared" si="27"/>
        <v>1.8908312522297452E-2</v>
      </c>
      <c r="Q122" s="5">
        <f t="shared" si="28"/>
        <v>6.862962143015279E-2</v>
      </c>
      <c r="R122" s="5">
        <f t="shared" si="29"/>
        <v>4.1305102395001785E-2</v>
      </c>
      <c r="S122" s="5">
        <f t="shared" si="29"/>
        <v>3.2165908369484623E-2</v>
      </c>
    </row>
    <row r="123" spans="1:19">
      <c r="A123" s="1">
        <v>36981</v>
      </c>
      <c r="B123" s="3">
        <f t="shared" si="31"/>
        <v>2.3089064261555805</v>
      </c>
      <c r="C123" s="3">
        <f t="shared" si="32"/>
        <v>1.8959744918294132</v>
      </c>
      <c r="D123" s="3">
        <f t="shared" si="33"/>
        <v>1.4760400210637177</v>
      </c>
      <c r="E123" s="3">
        <f t="shared" si="34"/>
        <v>1.4556880438285522</v>
      </c>
      <c r="F123" s="3">
        <f t="shared" si="35"/>
        <v>1.1851090086384204</v>
      </c>
      <c r="G123" s="3">
        <f t="shared" si="25"/>
        <v>1.174766935985085</v>
      </c>
      <c r="H123" s="2">
        <v>40.96</v>
      </c>
      <c r="I123" s="2">
        <v>47.57</v>
      </c>
      <c r="J123" s="2">
        <v>28.03</v>
      </c>
      <c r="K123" s="2">
        <v>45.17</v>
      </c>
      <c r="L123" s="2">
        <v>28.81</v>
      </c>
      <c r="M123" s="4">
        <v>94.51</v>
      </c>
      <c r="N123" s="5">
        <f t="shared" si="30"/>
        <v>4.88519785051371E-4</v>
      </c>
      <c r="O123" s="5">
        <f t="shared" si="26"/>
        <v>1.8193493150684963E-2</v>
      </c>
      <c r="P123" s="5">
        <f t="shared" si="27"/>
        <v>-3.9081247857387744E-2</v>
      </c>
      <c r="Q123" s="5">
        <f t="shared" si="28"/>
        <v>-1.7679558011049346E-3</v>
      </c>
      <c r="R123" s="5">
        <f t="shared" si="29"/>
        <v>-2.8002699055330697E-2</v>
      </c>
      <c r="S123" s="5">
        <f t="shared" si="29"/>
        <v>-1.8689648011629083E-2</v>
      </c>
    </row>
    <row r="124" spans="1:19">
      <c r="A124" s="1">
        <v>36950</v>
      </c>
      <c r="B124" s="3">
        <f t="shared" si="31"/>
        <v>2.3077790304396841</v>
      </c>
      <c r="C124" s="3">
        <f t="shared" si="32"/>
        <v>1.8620964527700272</v>
      </c>
      <c r="D124" s="3">
        <f t="shared" si="33"/>
        <v>1.536071616640337</v>
      </c>
      <c r="E124" s="3">
        <f t="shared" si="34"/>
        <v>1.4582661940057999</v>
      </c>
      <c r="F124" s="3">
        <f t="shared" si="35"/>
        <v>1.2192513368983957</v>
      </c>
      <c r="G124" s="3">
        <f t="shared" si="25"/>
        <v>1.1971410814170302</v>
      </c>
      <c r="H124" s="2">
        <v>40.94</v>
      </c>
      <c r="I124" s="2">
        <v>46.72</v>
      </c>
      <c r="J124" s="2">
        <v>29.17</v>
      </c>
      <c r="K124" s="2">
        <v>45.25</v>
      </c>
      <c r="L124" s="2">
        <v>29.64</v>
      </c>
      <c r="M124" s="4">
        <v>96.31</v>
      </c>
      <c r="N124" s="5">
        <f t="shared" si="30"/>
        <v>1.7901541521631002E-2</v>
      </c>
      <c r="O124" s="5">
        <f t="shared" si="26"/>
        <v>6.3510129751877975E-2</v>
      </c>
      <c r="P124" s="5">
        <f t="shared" si="27"/>
        <v>-1.9825268817204294E-2</v>
      </c>
      <c r="Q124" s="5">
        <f t="shared" si="28"/>
        <v>3.0986557302346764E-2</v>
      </c>
      <c r="R124" s="5">
        <f t="shared" si="29"/>
        <v>1.7857142857142842E-2</v>
      </c>
      <c r="S124" s="5">
        <f t="shared" si="29"/>
        <v>-1.8246687054026423E-2</v>
      </c>
    </row>
    <row r="125" spans="1:19">
      <c r="A125" s="1">
        <v>36922</v>
      </c>
      <c r="B125" s="3">
        <f t="shared" si="31"/>
        <v>2.2671927846674182</v>
      </c>
      <c r="C125" s="3">
        <f t="shared" si="32"/>
        <v>1.7508967716221595</v>
      </c>
      <c r="D125" s="3">
        <f t="shared" si="33"/>
        <v>1.5671406003159556</v>
      </c>
      <c r="E125" s="3">
        <f t="shared" si="34"/>
        <v>1.4144376409925872</v>
      </c>
      <c r="F125" s="3">
        <f t="shared" si="35"/>
        <v>1.197860962566845</v>
      </c>
      <c r="G125" s="3">
        <f t="shared" si="25"/>
        <v>1.2193909260410203</v>
      </c>
      <c r="H125" s="2">
        <v>40.22</v>
      </c>
      <c r="I125" s="2">
        <v>43.93</v>
      </c>
      <c r="J125" s="2">
        <v>29.76</v>
      </c>
      <c r="K125" s="2">
        <v>43.89</v>
      </c>
      <c r="L125" s="2">
        <v>29.12</v>
      </c>
      <c r="M125" s="4">
        <v>98.1</v>
      </c>
      <c r="N125" s="5">
        <f t="shared" si="30"/>
        <v>-3.7156304186276587E-3</v>
      </c>
      <c r="O125" s="5">
        <f t="shared" si="26"/>
        <v>9.1428571428571415E-2</v>
      </c>
      <c r="P125" s="5">
        <f t="shared" si="27"/>
        <v>6.0962566844919817E-2</v>
      </c>
      <c r="Q125" s="5">
        <f t="shared" si="28"/>
        <v>2.883263009845298E-2</v>
      </c>
      <c r="R125" s="5">
        <f t="shared" si="29"/>
        <v>2.2113022113022206E-2</v>
      </c>
      <c r="S125" s="5">
        <f t="shared" si="29"/>
        <v>2.081165452653486E-2</v>
      </c>
    </row>
    <row r="126" spans="1:19">
      <c r="A126" s="1">
        <v>36893</v>
      </c>
      <c r="B126" s="3">
        <f t="shared" si="31"/>
        <v>2.2756482525366404</v>
      </c>
      <c r="C126" s="3">
        <f t="shared" si="32"/>
        <v>1.6042247907532876</v>
      </c>
      <c r="D126" s="3">
        <f t="shared" si="33"/>
        <v>1.4770932069510265</v>
      </c>
      <c r="E126" s="3">
        <f t="shared" si="34"/>
        <v>1.3747985820174018</v>
      </c>
      <c r="F126" s="3">
        <f t="shared" si="35"/>
        <v>1.1719457013574661</v>
      </c>
      <c r="G126" s="3">
        <f t="shared" si="25"/>
        <v>1.1945307644499699</v>
      </c>
      <c r="H126" s="2">
        <v>40.369999999999997</v>
      </c>
      <c r="I126" s="2">
        <v>40.25</v>
      </c>
      <c r="J126" s="2">
        <v>28.05</v>
      </c>
      <c r="K126" s="2">
        <v>42.66</v>
      </c>
      <c r="L126" s="2">
        <v>28.49</v>
      </c>
      <c r="M126" s="4">
        <v>96.1</v>
      </c>
      <c r="N126" s="5">
        <f t="shared" si="30"/>
        <v>-2.5820463320463328E-2</v>
      </c>
      <c r="O126" s="5">
        <f t="shared" si="26"/>
        <v>-2.258377853326857E-2</v>
      </c>
      <c r="P126" s="5">
        <f t="shared" si="27"/>
        <v>1.593625498007973E-2</v>
      </c>
      <c r="Q126" s="5">
        <f t="shared" si="28"/>
        <v>4.074164430348852E-2</v>
      </c>
      <c r="R126" s="5">
        <f t="shared" si="29"/>
        <v>-3.6523503550896244E-2</v>
      </c>
      <c r="S126" s="5">
        <f t="shared" si="29"/>
        <v>-2.2380467955239094E-2</v>
      </c>
    </row>
    <row r="127" spans="1:19">
      <c r="A127" s="1">
        <v>36860</v>
      </c>
      <c r="B127" s="3">
        <f t="shared" si="31"/>
        <v>2.3359639233370912</v>
      </c>
      <c r="C127" s="3">
        <f t="shared" si="32"/>
        <v>1.6412913511359102</v>
      </c>
      <c r="D127" s="3">
        <f t="shared" si="33"/>
        <v>1.4539231174302261</v>
      </c>
      <c r="E127" s="3">
        <f t="shared" si="34"/>
        <v>1.3209796970673537</v>
      </c>
      <c r="F127" s="3">
        <f t="shared" si="35"/>
        <v>1.216371863430687</v>
      </c>
      <c r="G127" s="3">
        <f t="shared" si="25"/>
        <v>1.2218769422001252</v>
      </c>
      <c r="H127" s="2">
        <v>41.44</v>
      </c>
      <c r="I127" s="2">
        <v>41.18</v>
      </c>
      <c r="J127" s="2">
        <v>27.61</v>
      </c>
      <c r="K127" s="2">
        <v>40.99</v>
      </c>
      <c r="L127" s="2">
        <v>29.57</v>
      </c>
      <c r="M127" s="4">
        <v>98.3</v>
      </c>
      <c r="N127" s="5">
        <f t="shared" si="30"/>
        <v>5.9033989266547279E-2</v>
      </c>
      <c r="O127" s="5">
        <f t="shared" si="26"/>
        <v>-3.3560197136822338E-2</v>
      </c>
      <c r="P127" s="5">
        <f t="shared" si="27"/>
        <v>2.1778584392014052E-3</v>
      </c>
      <c r="Q127" s="5">
        <f t="shared" si="28"/>
        <v>-8.7082405345211514E-2</v>
      </c>
      <c r="R127" s="5">
        <f t="shared" si="29"/>
        <v>-3.2711808963035653E-2</v>
      </c>
      <c r="S127" s="5">
        <f t="shared" si="29"/>
        <v>3.0074400083830978E-2</v>
      </c>
    </row>
    <row r="128" spans="1:19">
      <c r="A128" s="1">
        <v>36830</v>
      </c>
      <c r="B128" s="3">
        <f t="shared" si="31"/>
        <v>2.2057497181510715</v>
      </c>
      <c r="C128" s="3">
        <f t="shared" si="32"/>
        <v>1.6982861697887599</v>
      </c>
      <c r="D128" s="3">
        <f t="shared" si="33"/>
        <v>1.4507635597682988</v>
      </c>
      <c r="E128" s="3">
        <f t="shared" si="34"/>
        <v>1.446986786980341</v>
      </c>
      <c r="F128" s="3">
        <f t="shared" si="35"/>
        <v>1.2575071986836692</v>
      </c>
      <c r="G128" s="3">
        <f t="shared" si="25"/>
        <v>1.1862026103169683</v>
      </c>
      <c r="H128" s="2">
        <v>39.130000000000003</v>
      </c>
      <c r="I128" s="2">
        <v>42.61</v>
      </c>
      <c r="J128" s="2">
        <v>27.55</v>
      </c>
      <c r="K128" s="2">
        <v>44.9</v>
      </c>
      <c r="L128" s="2">
        <v>30.57</v>
      </c>
      <c r="M128" s="4">
        <v>95.43</v>
      </c>
      <c r="N128" s="5">
        <f t="shared" si="30"/>
        <v>5.5001348072256644E-2</v>
      </c>
      <c r="O128" s="5">
        <f t="shared" si="26"/>
        <v>7.7642893272635322E-2</v>
      </c>
      <c r="P128" s="5">
        <f t="shared" si="27"/>
        <v>5.4747320061255732E-2</v>
      </c>
      <c r="Q128" s="5">
        <f t="shared" si="28"/>
        <v>0.10918972332015815</v>
      </c>
      <c r="R128" s="5">
        <f t="shared" si="29"/>
        <v>0.10600578871201156</v>
      </c>
      <c r="S128" s="5">
        <f t="shared" si="29"/>
        <v>4.4549036777583269E-2</v>
      </c>
    </row>
    <row r="129" spans="1:19">
      <c r="A129" s="1">
        <v>36799</v>
      </c>
      <c r="B129" s="3">
        <f t="shared" si="31"/>
        <v>2.0907553551296512</v>
      </c>
      <c r="C129" s="3">
        <f t="shared" si="32"/>
        <v>1.5759266640095648</v>
      </c>
      <c r="D129" s="3">
        <f t="shared" si="33"/>
        <v>1.3754607688256975</v>
      </c>
      <c r="E129" s="3">
        <f t="shared" si="34"/>
        <v>1.3045439896873987</v>
      </c>
      <c r="F129" s="3">
        <f t="shared" si="35"/>
        <v>1.1369806663924311</v>
      </c>
      <c r="G129" s="3">
        <f t="shared" si="25"/>
        <v>1.1356121814791806</v>
      </c>
      <c r="H129" s="2">
        <v>37.090000000000003</v>
      </c>
      <c r="I129" s="2">
        <v>39.54</v>
      </c>
      <c r="J129" s="2">
        <v>26.12</v>
      </c>
      <c r="K129" s="2">
        <v>40.479999999999997</v>
      </c>
      <c r="L129" s="2">
        <v>27.64</v>
      </c>
      <c r="M129" s="4">
        <v>91.36</v>
      </c>
      <c r="N129" s="5">
        <f t="shared" si="30"/>
        <v>-5.8965424819083043E-3</v>
      </c>
      <c r="O129" s="5">
        <f t="shared" si="26"/>
        <v>-3.325183374083128E-2</v>
      </c>
      <c r="P129" s="5">
        <f t="shared" si="27"/>
        <v>-6.0769507371449039E-2</v>
      </c>
      <c r="Q129" s="5">
        <f t="shared" si="28"/>
        <v>-1.2442059038790074E-2</v>
      </c>
      <c r="R129" s="5">
        <f t="shared" si="29"/>
        <v>-3.9610840861709538E-2</v>
      </c>
      <c r="S129" s="5">
        <f t="shared" si="29"/>
        <v>1.2860310421285992E-2</v>
      </c>
    </row>
    <row r="130" spans="1:19">
      <c r="A130" s="1">
        <v>36769</v>
      </c>
      <c r="B130" s="3">
        <f t="shared" si="31"/>
        <v>2.1031567080045099</v>
      </c>
      <c r="C130" s="3">
        <f t="shared" si="32"/>
        <v>1.6301315265045828</v>
      </c>
      <c r="D130" s="3">
        <f t="shared" si="33"/>
        <v>1.4644549763033172</v>
      </c>
      <c r="E130" s="3">
        <f t="shared" si="34"/>
        <v>1.3209796970673537</v>
      </c>
      <c r="F130" s="3">
        <f t="shared" si="35"/>
        <v>1.1838749485808309</v>
      </c>
      <c r="G130" s="3">
        <f t="shared" si="25"/>
        <v>1.1211932877563715</v>
      </c>
      <c r="H130" s="2">
        <v>37.31</v>
      </c>
      <c r="I130" s="2">
        <v>40.9</v>
      </c>
      <c r="J130" s="2">
        <v>27.81</v>
      </c>
      <c r="K130" s="2">
        <v>40.99</v>
      </c>
      <c r="L130" s="2">
        <v>28.78</v>
      </c>
      <c r="M130" s="4">
        <v>90.2</v>
      </c>
      <c r="N130" s="5">
        <f t="shared" si="30"/>
        <v>-5.5970149253731566E-3</v>
      </c>
      <c r="O130" s="5">
        <f t="shared" si="26"/>
        <v>-1.1599806669888931E-2</v>
      </c>
      <c r="P130" s="5">
        <f t="shared" si="27"/>
        <v>-3.2258064516128985E-3</v>
      </c>
      <c r="Q130" s="5">
        <f t="shared" si="28"/>
        <v>3.7196356275303613E-2</v>
      </c>
      <c r="R130" s="5">
        <f t="shared" si="29"/>
        <v>9.9732518150554048E-2</v>
      </c>
      <c r="S130" s="5">
        <f t="shared" si="29"/>
        <v>1.0078387458006783E-2</v>
      </c>
    </row>
    <row r="131" spans="1:19">
      <c r="A131" s="1">
        <v>36739</v>
      </c>
      <c r="B131" s="3">
        <f t="shared" si="31"/>
        <v>2.1149943630214207</v>
      </c>
      <c r="C131" s="3">
        <f t="shared" si="32"/>
        <v>1.649262654444001</v>
      </c>
      <c r="D131" s="3">
        <f t="shared" si="33"/>
        <v>1.4691943127962082</v>
      </c>
      <c r="E131" s="3">
        <f t="shared" si="34"/>
        <v>1.273606187560425</v>
      </c>
      <c r="F131" s="3">
        <f t="shared" si="35"/>
        <v>1.0765117235705473</v>
      </c>
      <c r="G131" s="3">
        <f t="shared" si="25"/>
        <v>1.1100062150403986</v>
      </c>
      <c r="H131" s="2">
        <v>37.520000000000003</v>
      </c>
      <c r="I131" s="2">
        <v>41.38</v>
      </c>
      <c r="J131" s="2">
        <v>27.9</v>
      </c>
      <c r="K131" s="2">
        <v>39.520000000000003</v>
      </c>
      <c r="L131" s="2">
        <v>26.17</v>
      </c>
      <c r="M131" s="4">
        <v>89.3</v>
      </c>
      <c r="N131" s="5">
        <f t="shared" ref="N131:N166" si="36">(H131-H132)/H132</f>
        <v>8.060182697474591E-3</v>
      </c>
      <c r="O131" s="5">
        <f t="shared" si="26"/>
        <v>3.3208489388264803E-2</v>
      </c>
      <c r="P131" s="5">
        <f t="shared" si="27"/>
        <v>-3.8262668045501651E-2</v>
      </c>
      <c r="Q131" s="5">
        <f t="shared" si="28"/>
        <v>1.9082001031459565E-2</v>
      </c>
      <c r="R131" s="5">
        <f t="shared" si="29"/>
        <v>3.5205696202531667E-2</v>
      </c>
      <c r="S131" s="5">
        <f t="shared" si="29"/>
        <v>2.4696901661427802E-3</v>
      </c>
    </row>
    <row r="132" spans="1:19">
      <c r="A132" s="1">
        <v>36707</v>
      </c>
      <c r="B132" s="3">
        <f t="shared" ref="B132:B165" si="37">B133*(1+N132)</f>
        <v>2.098083427282976</v>
      </c>
      <c r="C132" s="3">
        <f t="shared" ref="C132:C165" si="38">C133*(1+O132)</f>
        <v>1.5962534874451966</v>
      </c>
      <c r="D132" s="3">
        <f t="shared" ref="D132:D165" si="39">D133*(1+P132)</f>
        <v>1.5276461295418637</v>
      </c>
      <c r="E132" s="3">
        <f t="shared" ref="E132:E165" si="40">E133*(1+Q132)</f>
        <v>1.2497582984208824</v>
      </c>
      <c r="F132" s="3">
        <f t="shared" ref="F132:F165" si="41">F133*(1+R132)</f>
        <v>1.0399012751953931</v>
      </c>
      <c r="G132" s="3">
        <f t="shared" ref="G132:G165" si="42">G133*(1+S132)</f>
        <v>1.1072715972653833</v>
      </c>
      <c r="H132" s="2">
        <v>37.22</v>
      </c>
      <c r="I132" s="2">
        <v>40.049999999999997</v>
      </c>
      <c r="J132" s="2">
        <v>29.01</v>
      </c>
      <c r="K132" s="2">
        <v>38.78</v>
      </c>
      <c r="L132" s="2">
        <v>25.28</v>
      </c>
      <c r="M132" s="4">
        <v>89.08</v>
      </c>
      <c r="N132" s="5">
        <f t="shared" si="36"/>
        <v>2.2246635539686963E-2</v>
      </c>
      <c r="O132" s="5">
        <f t="shared" ref="O132:O166" si="43">(I132-I133)/I133</f>
        <v>-6.6964285714286491E-3</v>
      </c>
      <c r="P132" s="5">
        <f t="shared" ref="P132:P166" si="44">(J132-J133)/J133</f>
        <v>2.6539278131634817E-2</v>
      </c>
      <c r="Q132" s="5">
        <f t="shared" ref="Q132:Q166" si="45">(K132-K133)/K133</f>
        <v>1.7580687483600151E-2</v>
      </c>
      <c r="R132" s="5">
        <f t="shared" ref="R132:S166" si="46">(L132-L133)/L133</f>
        <v>-5.6716417910447743E-2</v>
      </c>
      <c r="S132" s="5">
        <f t="shared" si="46"/>
        <v>-3.2265073329712103E-2</v>
      </c>
    </row>
    <row r="133" spans="1:19">
      <c r="A133" s="1">
        <v>36677</v>
      </c>
      <c r="B133" s="3">
        <f t="shared" si="37"/>
        <v>2.0524239007891767</v>
      </c>
      <c r="C133" s="3">
        <f t="shared" si="38"/>
        <v>1.6070147469111193</v>
      </c>
      <c r="D133" s="3">
        <f t="shared" si="39"/>
        <v>1.4881516587677719</v>
      </c>
      <c r="E133" s="3">
        <f t="shared" si="40"/>
        <v>1.2281662906864317</v>
      </c>
      <c r="F133" s="3">
        <f t="shared" si="41"/>
        <v>1.1024269847799262</v>
      </c>
      <c r="G133" s="3">
        <f t="shared" si="42"/>
        <v>1.1441889372280931</v>
      </c>
      <c r="H133" s="2">
        <v>36.409999999999997</v>
      </c>
      <c r="I133" s="2">
        <v>40.32</v>
      </c>
      <c r="J133" s="2">
        <v>28.26</v>
      </c>
      <c r="K133" s="2">
        <v>38.11</v>
      </c>
      <c r="L133" s="2">
        <v>26.8</v>
      </c>
      <c r="M133" s="4">
        <v>92.05</v>
      </c>
      <c r="N133" s="5">
        <f t="shared" si="36"/>
        <v>8.1057007125890645E-2</v>
      </c>
      <c r="O133" s="5">
        <f t="shared" si="43"/>
        <v>0.11566131710016601</v>
      </c>
      <c r="P133" s="5">
        <f t="shared" si="44"/>
        <v>8.6923076923076978E-2</v>
      </c>
      <c r="Q133" s="5">
        <f t="shared" si="45"/>
        <v>5.1310344827586188E-2</v>
      </c>
      <c r="R133" s="5">
        <f t="shared" si="46"/>
        <v>7.5441412520064158E-2</v>
      </c>
      <c r="S133" s="5">
        <f t="shared" si="46"/>
        <v>1.847753927860148E-2</v>
      </c>
    </row>
    <row r="134" spans="1:19">
      <c r="A134" s="1">
        <v>36648</v>
      </c>
      <c r="B134" s="3">
        <f t="shared" si="37"/>
        <v>1.8985343855693346</v>
      </c>
      <c r="C134" s="3">
        <f t="shared" si="38"/>
        <v>1.4404145077720203</v>
      </c>
      <c r="D134" s="3">
        <f t="shared" si="39"/>
        <v>1.3691416535018426</v>
      </c>
      <c r="E134" s="3">
        <f t="shared" si="40"/>
        <v>1.1682242990654197</v>
      </c>
      <c r="F134" s="3">
        <f t="shared" si="41"/>
        <v>1.0250925545043195</v>
      </c>
      <c r="G134" s="3">
        <f t="shared" si="42"/>
        <v>1.1234307022995662</v>
      </c>
      <c r="H134" s="2">
        <v>33.68</v>
      </c>
      <c r="I134" s="2">
        <v>36.14</v>
      </c>
      <c r="J134" s="2">
        <v>26</v>
      </c>
      <c r="K134" s="2">
        <v>36.25</v>
      </c>
      <c r="L134" s="2">
        <v>24.92</v>
      </c>
      <c r="M134" s="4">
        <v>90.38</v>
      </c>
      <c r="N134" s="5">
        <f t="shared" si="36"/>
        <v>-1.4916642293068091E-2</v>
      </c>
      <c r="O134" s="5">
        <f t="shared" si="43"/>
        <v>7.7840739636146711E-2</v>
      </c>
      <c r="P134" s="5">
        <f t="shared" si="44"/>
        <v>-1.9607843137254888E-2</v>
      </c>
      <c r="Q134" s="5">
        <f t="shared" si="45"/>
        <v>4.3165467625899283E-2</v>
      </c>
      <c r="R134" s="5">
        <f t="shared" si="46"/>
        <v>3.103020273065784E-2</v>
      </c>
      <c r="S134" s="5">
        <f t="shared" si="46"/>
        <v>1.7220033764772102E-2</v>
      </c>
    </row>
    <row r="135" spans="1:19">
      <c r="A135" s="1">
        <v>36616</v>
      </c>
      <c r="B135" s="3">
        <f t="shared" si="37"/>
        <v>1.9272829763246897</v>
      </c>
      <c r="C135" s="3">
        <f t="shared" si="38"/>
        <v>1.3363889996014344</v>
      </c>
      <c r="D135" s="3">
        <f t="shared" si="39"/>
        <v>1.3965244865718793</v>
      </c>
      <c r="E135" s="3">
        <f t="shared" si="40"/>
        <v>1.1198839832420231</v>
      </c>
      <c r="F135" s="3">
        <f t="shared" si="41"/>
        <v>0.99424105306458266</v>
      </c>
      <c r="G135" s="3">
        <f t="shared" si="42"/>
        <v>1.1044126786824127</v>
      </c>
      <c r="H135" s="2">
        <v>34.19</v>
      </c>
      <c r="I135" s="2">
        <v>33.53</v>
      </c>
      <c r="J135" s="2">
        <v>26.52</v>
      </c>
      <c r="K135" s="2">
        <v>34.75</v>
      </c>
      <c r="L135" s="2">
        <v>24.17</v>
      </c>
      <c r="M135" s="4">
        <v>88.85</v>
      </c>
      <c r="N135" s="5">
        <f t="shared" si="36"/>
        <v>-2.9239766081886302E-4</v>
      </c>
      <c r="O135" s="5">
        <f t="shared" si="43"/>
        <v>3.9367637941723599E-2</v>
      </c>
      <c r="P135" s="5">
        <f t="shared" si="44"/>
        <v>2.1571648690292707E-2</v>
      </c>
      <c r="Q135" s="5">
        <f t="shared" si="45"/>
        <v>4.5112781954887216E-2</v>
      </c>
      <c r="R135" s="5">
        <f t="shared" si="46"/>
        <v>3.6005143591941853E-2</v>
      </c>
      <c r="S135" s="5">
        <f t="shared" si="46"/>
        <v>-1.8990835817599635E-2</v>
      </c>
    </row>
    <row r="136" spans="1:19">
      <c r="A136" s="1">
        <v>36585</v>
      </c>
      <c r="B136" s="3">
        <f t="shared" si="37"/>
        <v>1.9278466741826381</v>
      </c>
      <c r="C136" s="3">
        <f t="shared" si="38"/>
        <v>1.2857712235950574</v>
      </c>
      <c r="D136" s="3">
        <f t="shared" si="39"/>
        <v>1.3670352817272244</v>
      </c>
      <c r="E136" s="3">
        <f t="shared" si="40"/>
        <v>1.0715436674186265</v>
      </c>
      <c r="F136" s="3">
        <f t="shared" si="41"/>
        <v>0.95968737145207728</v>
      </c>
      <c r="G136" s="3">
        <f t="shared" si="42"/>
        <v>1.1257924176507159</v>
      </c>
      <c r="H136" s="2">
        <v>34.200000000000003</v>
      </c>
      <c r="I136" s="2">
        <v>32.26</v>
      </c>
      <c r="J136" s="2">
        <v>25.96</v>
      </c>
      <c r="K136" s="2">
        <v>33.25</v>
      </c>
      <c r="L136" s="2">
        <v>23.33</v>
      </c>
      <c r="M136" s="4">
        <v>90.57</v>
      </c>
      <c r="N136" s="5">
        <f t="shared" si="36"/>
        <v>-6.3270336894001508E-2</v>
      </c>
      <c r="O136" s="5">
        <f t="shared" si="43"/>
        <v>-5.3125917229233995E-2</v>
      </c>
      <c r="P136" s="5">
        <f t="shared" si="44"/>
        <v>-3.422619047619041E-2</v>
      </c>
      <c r="Q136" s="5">
        <f t="shared" si="45"/>
        <v>-1.3645802432512632E-2</v>
      </c>
      <c r="R136" s="5">
        <f t="shared" si="46"/>
        <v>3.0932390631904522E-2</v>
      </c>
      <c r="S136" s="5">
        <f t="shared" si="46"/>
        <v>-1.3183700152538766E-2</v>
      </c>
    </row>
    <row r="137" spans="1:19">
      <c r="A137" s="1">
        <v>36557</v>
      </c>
      <c r="B137" s="3">
        <f t="shared" si="37"/>
        <v>2.0580608793686581</v>
      </c>
      <c r="C137" s="3">
        <f t="shared" si="38"/>
        <v>1.3579115185332797</v>
      </c>
      <c r="D137" s="3">
        <f t="shared" si="39"/>
        <v>1.4154818325434435</v>
      </c>
      <c r="E137" s="3">
        <f t="shared" si="40"/>
        <v>1.0863680309378017</v>
      </c>
      <c r="F137" s="3">
        <f t="shared" si="41"/>
        <v>0.93089263677498968</v>
      </c>
      <c r="G137" s="3">
        <f t="shared" si="42"/>
        <v>1.1408328154133014</v>
      </c>
      <c r="H137" s="2">
        <v>36.51</v>
      </c>
      <c r="I137" s="2">
        <v>34.07</v>
      </c>
      <c r="J137" s="2">
        <v>26.88</v>
      </c>
      <c r="K137" s="2">
        <v>33.71</v>
      </c>
      <c r="L137" s="2">
        <v>22.63</v>
      </c>
      <c r="M137" s="4">
        <v>91.78</v>
      </c>
      <c r="N137" s="5">
        <f t="shared" si="36"/>
        <v>-3.2335011926848636E-2</v>
      </c>
      <c r="O137" s="5">
        <f t="shared" si="43"/>
        <v>4.2852770125497354E-2</v>
      </c>
      <c r="P137" s="5">
        <f t="shared" si="44"/>
        <v>-2.467343976777938E-2</v>
      </c>
      <c r="Q137" s="5">
        <f t="shared" si="45"/>
        <v>-4.3687943262411322E-2</v>
      </c>
      <c r="R137" s="5">
        <f t="shared" si="46"/>
        <v>-3.9612676056337967E-3</v>
      </c>
      <c r="S137" s="5">
        <f t="shared" si="46"/>
        <v>1.3471731448763237E-2</v>
      </c>
    </row>
    <row r="138" spans="1:19">
      <c r="A138" s="1">
        <v>36526</v>
      </c>
      <c r="B138" s="3">
        <f t="shared" si="37"/>
        <v>2.1268320180383311</v>
      </c>
      <c r="C138" s="3">
        <f t="shared" si="38"/>
        <v>1.3021123953766438</v>
      </c>
      <c r="D138" s="3">
        <f t="shared" si="39"/>
        <v>1.4512901527119533</v>
      </c>
      <c r="E138" s="3">
        <f t="shared" si="40"/>
        <v>1.1359974218498223</v>
      </c>
      <c r="F138" s="3">
        <f t="shared" si="41"/>
        <v>0.93459481694775803</v>
      </c>
      <c r="G138" s="3">
        <f t="shared" si="42"/>
        <v>1.1256681168427605</v>
      </c>
      <c r="H138" s="2">
        <v>37.729999999999997</v>
      </c>
      <c r="I138" s="2">
        <v>32.67</v>
      </c>
      <c r="J138" s="2">
        <v>27.56</v>
      </c>
      <c r="K138" s="2">
        <v>35.25</v>
      </c>
      <c r="L138" s="2">
        <v>22.72</v>
      </c>
      <c r="M138" s="4">
        <v>90.56</v>
      </c>
      <c r="N138" s="5">
        <f t="shared" si="36"/>
        <v>8.2843399251735748E-3</v>
      </c>
      <c r="O138" s="5">
        <f t="shared" si="43"/>
        <v>-9.0991810737032809E-3</v>
      </c>
      <c r="P138" s="5">
        <f t="shared" si="44"/>
        <v>8.0360642885142969E-2</v>
      </c>
      <c r="Q138" s="5">
        <f t="shared" si="45"/>
        <v>-5.4199087738127261E-2</v>
      </c>
      <c r="R138" s="5">
        <f t="shared" si="46"/>
        <v>1.56459544032185E-2</v>
      </c>
      <c r="S138" s="5">
        <f t="shared" si="46"/>
        <v>1.9819819819819878E-2</v>
      </c>
    </row>
    <row r="139" spans="1:19">
      <c r="A139" s="1">
        <v>36494</v>
      </c>
      <c r="B139" s="3">
        <f t="shared" si="37"/>
        <v>2.1093573844419393</v>
      </c>
      <c r="C139" s="3">
        <f t="shared" si="38"/>
        <v>1.3140693503387801</v>
      </c>
      <c r="D139" s="3">
        <f t="shared" si="39"/>
        <v>1.3433385992627698</v>
      </c>
      <c r="E139" s="3">
        <f t="shared" si="40"/>
        <v>1.20109571382533</v>
      </c>
      <c r="F139" s="3">
        <f t="shared" si="41"/>
        <v>0.92019744960921424</v>
      </c>
      <c r="G139" s="3">
        <f t="shared" si="42"/>
        <v>1.1037911746426361</v>
      </c>
      <c r="H139" s="2">
        <v>37.42</v>
      </c>
      <c r="I139" s="2">
        <v>32.97</v>
      </c>
      <c r="J139" s="2">
        <v>25.51</v>
      </c>
      <c r="K139" s="2">
        <v>37.270000000000003</v>
      </c>
      <c r="L139" s="2">
        <v>22.37</v>
      </c>
      <c r="M139" s="4">
        <v>88.8</v>
      </c>
      <c r="N139" s="5">
        <f t="shared" si="36"/>
        <v>0.10579196217494084</v>
      </c>
      <c r="O139" s="5">
        <f t="shared" si="43"/>
        <v>9.7536617842876164E-2</v>
      </c>
      <c r="P139" s="5">
        <f t="shared" si="44"/>
        <v>0.12626931567328933</v>
      </c>
      <c r="Q139" s="5">
        <f t="shared" si="45"/>
        <v>0.11888321825277696</v>
      </c>
      <c r="R139" s="5">
        <f t="shared" si="46"/>
        <v>9.175207418252819E-2</v>
      </c>
      <c r="S139" s="5">
        <f t="shared" si="46"/>
        <v>5.0266114725014785E-2</v>
      </c>
    </row>
    <row r="140" spans="1:19">
      <c r="A140" s="1">
        <v>36466</v>
      </c>
      <c r="B140" s="3">
        <f t="shared" si="37"/>
        <v>1.9075535512965054</v>
      </c>
      <c r="C140" s="3">
        <f t="shared" si="38"/>
        <v>1.1972897568752487</v>
      </c>
      <c r="D140" s="3">
        <f t="shared" si="39"/>
        <v>1.192733017377567</v>
      </c>
      <c r="E140" s="3">
        <f t="shared" si="40"/>
        <v>1.0734772800515626</v>
      </c>
      <c r="F140" s="3">
        <f t="shared" si="41"/>
        <v>0.84286301933360741</v>
      </c>
      <c r="G140" s="3">
        <f t="shared" si="42"/>
        <v>1.0509633312616542</v>
      </c>
      <c r="H140" s="2">
        <v>33.840000000000003</v>
      </c>
      <c r="I140" s="2">
        <v>30.04</v>
      </c>
      <c r="J140" s="2">
        <v>22.65</v>
      </c>
      <c r="K140" s="2">
        <v>33.31</v>
      </c>
      <c r="L140" s="2">
        <v>20.49</v>
      </c>
      <c r="M140" s="4">
        <v>84.55</v>
      </c>
      <c r="N140" s="5">
        <f t="shared" si="36"/>
        <v>1.5911137796457555E-2</v>
      </c>
      <c r="O140" s="5">
        <f t="shared" si="43"/>
        <v>2.0013342228151674E-3</v>
      </c>
      <c r="P140" s="5">
        <f t="shared" si="44"/>
        <v>-2.4127531236536073E-2</v>
      </c>
      <c r="Q140" s="5">
        <f t="shared" si="45"/>
        <v>-4.1853512705530812E-3</v>
      </c>
      <c r="R140" s="5">
        <f t="shared" si="46"/>
        <v>4.5941807044410345E-2</v>
      </c>
      <c r="S140" s="5">
        <f t="shared" si="46"/>
        <v>1.1000837020208081E-2</v>
      </c>
    </row>
    <row r="141" spans="1:19">
      <c r="A141" s="1">
        <v>36433</v>
      </c>
      <c r="B141" s="3">
        <f t="shared" si="37"/>
        <v>1.8776775648252539</v>
      </c>
      <c r="C141" s="3">
        <f t="shared" si="38"/>
        <v>1.1948983658828216</v>
      </c>
      <c r="D141" s="3">
        <f t="shared" si="39"/>
        <v>1.2222222222222223</v>
      </c>
      <c r="E141" s="3">
        <f t="shared" si="40"/>
        <v>1.0779890428617462</v>
      </c>
      <c r="F141" s="3">
        <f t="shared" si="41"/>
        <v>0.80584121760592331</v>
      </c>
      <c r="G141" s="3">
        <f t="shared" si="42"/>
        <v>1.0395276569297709</v>
      </c>
      <c r="H141" s="2">
        <v>33.31</v>
      </c>
      <c r="I141" s="2">
        <v>29.98</v>
      </c>
      <c r="J141" s="2">
        <v>23.21</v>
      </c>
      <c r="K141" s="2">
        <v>33.450000000000003</v>
      </c>
      <c r="L141" s="2">
        <v>19.59</v>
      </c>
      <c r="M141" s="4">
        <v>83.63</v>
      </c>
      <c r="N141" s="5">
        <f t="shared" si="36"/>
        <v>9.6084238236261985E-2</v>
      </c>
      <c r="O141" s="5">
        <f t="shared" si="43"/>
        <v>0.12116679132385946</v>
      </c>
      <c r="P141" s="5">
        <f t="shared" si="44"/>
        <v>0.16166166166166168</v>
      </c>
      <c r="Q141" s="5">
        <f t="shared" si="45"/>
        <v>4.5045045045046753E-3</v>
      </c>
      <c r="R141" s="5">
        <f t="shared" si="46"/>
        <v>-4.7178988326848199E-2</v>
      </c>
      <c r="S141" s="5">
        <f t="shared" si="46"/>
        <v>5.353993449231545E-2</v>
      </c>
    </row>
    <row r="142" spans="1:19">
      <c r="A142" s="1">
        <v>36404</v>
      </c>
      <c r="B142" s="3">
        <f t="shared" si="37"/>
        <v>1.7130777903043972</v>
      </c>
      <c r="C142" s="3">
        <f t="shared" si="38"/>
        <v>1.0657632522917495</v>
      </c>
      <c r="D142" s="3">
        <f t="shared" si="39"/>
        <v>1.0521327014218009</v>
      </c>
      <c r="E142" s="3">
        <f t="shared" si="40"/>
        <v>1.0731550112794064</v>
      </c>
      <c r="F142" s="3">
        <f t="shared" si="41"/>
        <v>0.84574249280131608</v>
      </c>
      <c r="G142" s="3">
        <f t="shared" si="42"/>
        <v>0.98669981354878888</v>
      </c>
      <c r="H142" s="2">
        <v>30.39</v>
      </c>
      <c r="I142" s="2">
        <v>26.74</v>
      </c>
      <c r="J142" s="2">
        <v>19.98</v>
      </c>
      <c r="K142" s="2">
        <v>33.299999999999997</v>
      </c>
      <c r="L142" s="2">
        <v>20.56</v>
      </c>
      <c r="M142" s="4">
        <v>79.38</v>
      </c>
      <c r="N142" s="5">
        <f t="shared" si="36"/>
        <v>-3.7072243346007547E-2</v>
      </c>
      <c r="O142" s="5">
        <f t="shared" si="43"/>
        <v>-8.2046000686577428E-2</v>
      </c>
      <c r="P142" s="5">
        <f t="shared" si="44"/>
        <v>-9.0991810737033663E-2</v>
      </c>
      <c r="Q142" s="5">
        <f t="shared" si="45"/>
        <v>-9.9269678117392526E-2</v>
      </c>
      <c r="R142" s="5">
        <f t="shared" si="46"/>
        <v>-0.12696390658174106</v>
      </c>
      <c r="S142" s="5">
        <f t="shared" si="46"/>
        <v>-1.0964365811113999E-2</v>
      </c>
    </row>
    <row r="143" spans="1:19">
      <c r="A143" s="1">
        <v>36372</v>
      </c>
      <c r="B143" s="3">
        <f t="shared" si="37"/>
        <v>1.7790304396843295</v>
      </c>
      <c r="C143" s="3">
        <f t="shared" si="38"/>
        <v>1.1610203268234354</v>
      </c>
      <c r="D143" s="3">
        <f t="shared" si="39"/>
        <v>1.1574512901527119</v>
      </c>
      <c r="E143" s="3">
        <f t="shared" si="40"/>
        <v>1.1914276506606503</v>
      </c>
      <c r="F143" s="3">
        <f t="shared" si="41"/>
        <v>0.96873714520773324</v>
      </c>
      <c r="G143" s="3">
        <f t="shared" si="42"/>
        <v>0.99763828464885118</v>
      </c>
      <c r="H143" s="2">
        <v>31.56</v>
      </c>
      <c r="I143" s="2">
        <v>29.13</v>
      </c>
      <c r="J143" s="2">
        <v>21.98</v>
      </c>
      <c r="K143" s="2">
        <v>36.97</v>
      </c>
      <c r="L143" s="2">
        <v>23.55</v>
      </c>
      <c r="M143" s="4">
        <v>80.260000000000005</v>
      </c>
      <c r="N143" s="5">
        <f t="shared" si="36"/>
        <v>7.0556309362279454E-2</v>
      </c>
      <c r="O143" s="5">
        <f t="shared" si="43"/>
        <v>0.13478768991040113</v>
      </c>
      <c r="P143" s="5">
        <f t="shared" si="44"/>
        <v>3.1924882629107969E-2</v>
      </c>
      <c r="Q143" s="5">
        <f t="shared" si="45"/>
        <v>-1.8842887473460745E-2</v>
      </c>
      <c r="R143" s="5">
        <f t="shared" si="46"/>
        <v>4.4345898004434586E-2</v>
      </c>
      <c r="S143" s="5">
        <f t="shared" si="46"/>
        <v>2.0600203458799652E-2</v>
      </c>
    </row>
    <row r="144" spans="1:19">
      <c r="A144" s="1">
        <v>36341</v>
      </c>
      <c r="B144" s="3">
        <f t="shared" si="37"/>
        <v>1.6617812852311165</v>
      </c>
      <c r="C144" s="3">
        <f t="shared" si="38"/>
        <v>1.0231167795934635</v>
      </c>
      <c r="D144" s="3">
        <f t="shared" si="39"/>
        <v>1.1216429699842023</v>
      </c>
      <c r="E144" s="3">
        <f t="shared" si="40"/>
        <v>1.2143087334837248</v>
      </c>
      <c r="F144" s="3">
        <f t="shared" si="41"/>
        <v>0.92760180995475083</v>
      </c>
      <c r="G144" s="3">
        <f t="shared" si="42"/>
        <v>0.97750155376010017</v>
      </c>
      <c r="H144" s="2">
        <v>29.48</v>
      </c>
      <c r="I144" s="2">
        <v>25.67</v>
      </c>
      <c r="J144" s="2">
        <v>21.3</v>
      </c>
      <c r="K144" s="2">
        <v>37.68</v>
      </c>
      <c r="L144" s="2">
        <v>22.55</v>
      </c>
      <c r="M144" s="4">
        <v>78.64</v>
      </c>
      <c r="N144" s="5">
        <f t="shared" si="36"/>
        <v>6.1959654178674307E-2</v>
      </c>
      <c r="O144" s="5">
        <f t="shared" si="43"/>
        <v>-3.4962406015037584E-2</v>
      </c>
      <c r="P144" s="5">
        <f t="shared" si="44"/>
        <v>5.3412462908011965E-2</v>
      </c>
      <c r="Q144" s="5">
        <f t="shared" si="45"/>
        <v>0.10014598540145984</v>
      </c>
      <c r="R144" s="5">
        <f t="shared" si="46"/>
        <v>-5.924071756362112E-2</v>
      </c>
      <c r="S144" s="5">
        <f t="shared" si="46"/>
        <v>1.8125323666494119E-2</v>
      </c>
    </row>
    <row r="145" spans="1:19">
      <c r="A145" s="1">
        <v>36312</v>
      </c>
      <c r="B145" s="3">
        <f t="shared" si="37"/>
        <v>1.5648252536640366</v>
      </c>
      <c r="C145" s="3">
        <f t="shared" si="38"/>
        <v>1.060183339976086</v>
      </c>
      <c r="D145" s="3">
        <f t="shared" si="39"/>
        <v>1.0647709320695102</v>
      </c>
      <c r="E145" s="3">
        <f t="shared" si="40"/>
        <v>1.1037705446342243</v>
      </c>
      <c r="F145" s="3">
        <f t="shared" si="41"/>
        <v>0.9860139860139856</v>
      </c>
      <c r="G145" s="3">
        <f t="shared" si="42"/>
        <v>0.96009944064636477</v>
      </c>
      <c r="H145" s="2">
        <v>27.76</v>
      </c>
      <c r="I145" s="2">
        <v>26.6</v>
      </c>
      <c r="J145" s="2">
        <v>20.22</v>
      </c>
      <c r="K145" s="2">
        <v>34.25</v>
      </c>
      <c r="L145" s="2">
        <v>23.97</v>
      </c>
      <c r="M145" s="4">
        <v>77.239999999999995</v>
      </c>
      <c r="N145" s="5">
        <f t="shared" si="36"/>
        <v>3.775700934579445E-2</v>
      </c>
      <c r="O145" s="5">
        <f t="shared" si="43"/>
        <v>0.11905763567522094</v>
      </c>
      <c r="P145" s="5">
        <f t="shared" si="44"/>
        <v>2.4835276229092672E-2</v>
      </c>
      <c r="Q145" s="5">
        <f t="shared" si="45"/>
        <v>2.4835427887492469E-2</v>
      </c>
      <c r="R145" s="5">
        <f t="shared" si="46"/>
        <v>2.4796921761436438E-2</v>
      </c>
      <c r="S145" s="5">
        <f t="shared" si="46"/>
        <v>1.0597932748920423E-2</v>
      </c>
    </row>
    <row r="146" spans="1:19">
      <c r="A146" s="1">
        <v>36280</v>
      </c>
      <c r="B146" s="3">
        <f t="shared" si="37"/>
        <v>1.5078917700112744</v>
      </c>
      <c r="C146" s="3">
        <f t="shared" si="38"/>
        <v>0.94738939816660017</v>
      </c>
      <c r="D146" s="3">
        <f t="shared" si="39"/>
        <v>1.0389678778304372</v>
      </c>
      <c r="E146" s="3">
        <f t="shared" si="40"/>
        <v>1.0770222365452782</v>
      </c>
      <c r="F146" s="3">
        <f t="shared" si="41"/>
        <v>0.96215549156725599</v>
      </c>
      <c r="G146" s="3">
        <f t="shared" si="42"/>
        <v>0.95003107520198948</v>
      </c>
      <c r="H146" s="2">
        <v>26.75</v>
      </c>
      <c r="I146" s="2">
        <v>23.77</v>
      </c>
      <c r="J146" s="2">
        <v>19.73</v>
      </c>
      <c r="K146" s="2">
        <v>33.42</v>
      </c>
      <c r="L146" s="2">
        <v>23.39</v>
      </c>
      <c r="M146" s="4">
        <v>76.430000000000007</v>
      </c>
      <c r="N146" s="5">
        <f t="shared" si="36"/>
        <v>0.10857853294653963</v>
      </c>
      <c r="O146" s="5">
        <f t="shared" si="43"/>
        <v>0.13082778306374881</v>
      </c>
      <c r="P146" s="5">
        <f t="shared" si="44"/>
        <v>0.11848072562358275</v>
      </c>
      <c r="Q146" s="5">
        <f t="shared" si="45"/>
        <v>-7.0116861435726111E-2</v>
      </c>
      <c r="R146" s="5">
        <f t="shared" si="46"/>
        <v>7.0480549199084627E-2</v>
      </c>
      <c r="S146" s="5">
        <f t="shared" si="46"/>
        <v>5.478884902014923E-2</v>
      </c>
    </row>
    <row r="147" spans="1:19">
      <c r="A147" s="1">
        <v>36250</v>
      </c>
      <c r="B147" s="3">
        <f t="shared" si="37"/>
        <v>1.3602029312288617</v>
      </c>
      <c r="C147" s="3">
        <f t="shared" si="38"/>
        <v>0.83778397768035073</v>
      </c>
      <c r="D147" s="3">
        <f t="shared" si="39"/>
        <v>0.92890995260663523</v>
      </c>
      <c r="E147" s="3">
        <f t="shared" si="40"/>
        <v>1.1582339671285846</v>
      </c>
      <c r="F147" s="3">
        <f t="shared" si="41"/>
        <v>0.89880707527766335</v>
      </c>
      <c r="G147" s="3">
        <f t="shared" si="42"/>
        <v>0.90068365444375442</v>
      </c>
      <c r="H147" s="2">
        <v>24.13</v>
      </c>
      <c r="I147" s="2">
        <v>21.02</v>
      </c>
      <c r="J147" s="2">
        <v>17.64</v>
      </c>
      <c r="K147" s="2">
        <v>35.94</v>
      </c>
      <c r="L147" s="2">
        <v>21.85</v>
      </c>
      <c r="M147" s="4">
        <v>72.459999999999994</v>
      </c>
      <c r="N147" s="5">
        <f t="shared" si="36"/>
        <v>7.006651884700657E-2</v>
      </c>
      <c r="O147" s="5">
        <f t="shared" si="43"/>
        <v>8.8555152770585233E-2</v>
      </c>
      <c r="P147" s="5">
        <f t="shared" si="44"/>
        <v>0.10457107075767062</v>
      </c>
      <c r="Q147" s="5">
        <f t="shared" si="45"/>
        <v>5.2724077328646667E-2</v>
      </c>
      <c r="R147" s="5">
        <f t="shared" si="46"/>
        <v>6.2226543509966023E-2</v>
      </c>
      <c r="S147" s="5">
        <f t="shared" si="46"/>
        <v>8.4730538922155638E-2</v>
      </c>
    </row>
    <row r="148" spans="1:19">
      <c r="A148" s="1">
        <v>36221</v>
      </c>
      <c r="B148" s="3">
        <f t="shared" si="37"/>
        <v>1.2711386696730556</v>
      </c>
      <c r="C148" s="3">
        <f t="shared" si="38"/>
        <v>0.76962933439617376</v>
      </c>
      <c r="D148" s="3">
        <f t="shared" si="39"/>
        <v>0.84096893101632453</v>
      </c>
      <c r="E148" s="3">
        <f t="shared" si="40"/>
        <v>1.1002255881405087</v>
      </c>
      <c r="F148" s="3">
        <f t="shared" si="41"/>
        <v>0.84615384615384592</v>
      </c>
      <c r="G148" s="3">
        <f t="shared" si="42"/>
        <v>0.830329397141082</v>
      </c>
      <c r="H148" s="2">
        <v>22.55</v>
      </c>
      <c r="I148" s="2">
        <v>19.309999999999999</v>
      </c>
      <c r="J148" s="2">
        <v>15.97</v>
      </c>
      <c r="K148" s="2">
        <v>34.14</v>
      </c>
      <c r="L148" s="2">
        <v>20.57</v>
      </c>
      <c r="M148" s="4">
        <v>66.8</v>
      </c>
      <c r="N148" s="5">
        <f t="shared" si="36"/>
        <v>-1.3992129427197214E-2</v>
      </c>
      <c r="O148" s="5">
        <f t="shared" si="43"/>
        <v>-9.0438059349976521E-2</v>
      </c>
      <c r="P148" s="5">
        <f t="shared" si="44"/>
        <v>-6.6627703097603672E-2</v>
      </c>
      <c r="Q148" s="5">
        <f t="shared" si="45"/>
        <v>3.9902528175449356E-2</v>
      </c>
      <c r="R148" s="5">
        <f t="shared" si="46"/>
        <v>4.7885888945491659E-2</v>
      </c>
      <c r="S148" s="5">
        <f t="shared" si="46"/>
        <v>2.1002100210021088E-3</v>
      </c>
    </row>
    <row r="149" spans="1:19">
      <c r="A149" s="1">
        <v>36193</v>
      </c>
      <c r="B149" s="3">
        <f t="shared" si="37"/>
        <v>1.289177001127396</v>
      </c>
      <c r="C149" s="3">
        <f t="shared" si="38"/>
        <v>0.84615384615384615</v>
      </c>
      <c r="D149" s="3">
        <f t="shared" si="39"/>
        <v>0.90100052659294372</v>
      </c>
      <c r="E149" s="3">
        <f t="shared" si="40"/>
        <v>1.0580083789880756</v>
      </c>
      <c r="F149" s="3">
        <f t="shared" si="41"/>
        <v>0.80748663101604257</v>
      </c>
      <c r="G149" s="3">
        <f t="shared" si="42"/>
        <v>0.82858918582970842</v>
      </c>
      <c r="H149" s="2">
        <v>22.87</v>
      </c>
      <c r="I149" s="2">
        <v>21.23</v>
      </c>
      <c r="J149" s="2">
        <v>17.11</v>
      </c>
      <c r="K149" s="2">
        <v>32.83</v>
      </c>
      <c r="L149" s="2">
        <v>19.63</v>
      </c>
      <c r="M149" s="4">
        <v>66.66</v>
      </c>
      <c r="N149" s="5">
        <f t="shared" si="36"/>
        <v>-7.4838187702265288E-2</v>
      </c>
      <c r="O149" s="5">
        <f t="shared" si="43"/>
        <v>-0.12308963238331269</v>
      </c>
      <c r="P149" s="5">
        <f t="shared" si="44"/>
        <v>-5.5739514348785955E-2</v>
      </c>
      <c r="Q149" s="5">
        <f t="shared" si="45"/>
        <v>-0.10226961990702767</v>
      </c>
      <c r="R149" s="5">
        <f t="shared" si="46"/>
        <v>-9.9954149472718926E-2</v>
      </c>
      <c r="S149" s="5">
        <f t="shared" si="46"/>
        <v>-1.3467515169453851E-2</v>
      </c>
    </row>
    <row r="150" spans="1:19">
      <c r="A150" s="1">
        <v>36161</v>
      </c>
      <c r="B150" s="3">
        <f t="shared" si="37"/>
        <v>1.3934611048478016</v>
      </c>
      <c r="C150" s="3">
        <f t="shared" si="38"/>
        <v>0.96492626544440019</v>
      </c>
      <c r="D150" s="3">
        <f t="shared" si="39"/>
        <v>0.95418641390205394</v>
      </c>
      <c r="E150" s="3">
        <f t="shared" si="40"/>
        <v>1.1785368997744115</v>
      </c>
      <c r="F150" s="3">
        <f t="shared" si="41"/>
        <v>0.89716166186754398</v>
      </c>
      <c r="G150" s="3">
        <f t="shared" si="42"/>
        <v>0.83990055935363628</v>
      </c>
      <c r="H150" s="2">
        <v>24.72</v>
      </c>
      <c r="I150" s="2">
        <v>24.21</v>
      </c>
      <c r="J150" s="2">
        <v>18.12</v>
      </c>
      <c r="K150" s="2">
        <v>36.57</v>
      </c>
      <c r="L150" s="2">
        <v>21.81</v>
      </c>
      <c r="M150" s="4">
        <v>67.569999999999993</v>
      </c>
      <c r="N150" s="5">
        <f t="shared" si="36"/>
        <v>2.6578073089701022E-2</v>
      </c>
      <c r="O150" s="5">
        <f t="shared" si="43"/>
        <v>-4.2325949367088618E-2</v>
      </c>
      <c r="P150" s="5">
        <f t="shared" si="44"/>
        <v>1.7977528089887656E-2</v>
      </c>
      <c r="Q150" s="5">
        <f t="shared" si="45"/>
        <v>-0.11602610587382155</v>
      </c>
      <c r="R150" s="5">
        <f t="shared" si="46"/>
        <v>-2.1534320323014826E-2</v>
      </c>
      <c r="S150" s="5">
        <f t="shared" si="46"/>
        <v>-2.4682448036951615E-2</v>
      </c>
    </row>
    <row r="151" spans="1:19">
      <c r="A151" s="1">
        <v>36130</v>
      </c>
      <c r="B151" s="3">
        <f t="shared" si="37"/>
        <v>1.3573844419391208</v>
      </c>
      <c r="C151" s="3">
        <f t="shared" si="38"/>
        <v>1.0075727381426864</v>
      </c>
      <c r="D151" s="3">
        <f t="shared" si="39"/>
        <v>0.93733543970510813</v>
      </c>
      <c r="E151" s="3">
        <f t="shared" si="40"/>
        <v>1.3332259104092807</v>
      </c>
      <c r="F151" s="3">
        <f t="shared" si="41"/>
        <v>0.9169066227889755</v>
      </c>
      <c r="G151" s="3">
        <f t="shared" si="42"/>
        <v>0.86115599751398442</v>
      </c>
      <c r="H151" s="2">
        <v>24.08</v>
      </c>
      <c r="I151" s="2">
        <v>25.28</v>
      </c>
      <c r="J151" s="2">
        <v>17.8</v>
      </c>
      <c r="K151" s="2">
        <v>41.37</v>
      </c>
      <c r="L151" s="2">
        <v>22.29</v>
      </c>
      <c r="M151" s="4">
        <v>69.28</v>
      </c>
      <c r="N151" s="5">
        <f t="shared" si="36"/>
        <v>-8.6455331412104101E-3</v>
      </c>
      <c r="O151" s="5">
        <f t="shared" si="43"/>
        <v>-3.1046377922575651E-2</v>
      </c>
      <c r="P151" s="5">
        <f t="shared" si="44"/>
        <v>-7.7242094349403753E-2</v>
      </c>
      <c r="Q151" s="5">
        <f t="shared" si="45"/>
        <v>0.1064455736828028</v>
      </c>
      <c r="R151" s="5">
        <f t="shared" si="46"/>
        <v>6.0923369823893264E-2</v>
      </c>
      <c r="S151" s="5">
        <f t="shared" si="46"/>
        <v>-5.6516410186572316E-2</v>
      </c>
    </row>
    <row r="152" spans="1:19">
      <c r="A152" s="1">
        <v>36099</v>
      </c>
      <c r="B152" s="3">
        <f t="shared" si="37"/>
        <v>1.3692220969560318</v>
      </c>
      <c r="C152" s="3">
        <f t="shared" si="38"/>
        <v>1.0398565165404545</v>
      </c>
      <c r="D152" s="3">
        <f t="shared" si="39"/>
        <v>1.0157977883096367</v>
      </c>
      <c r="E152" s="3">
        <f t="shared" si="40"/>
        <v>1.2049629390912018</v>
      </c>
      <c r="F152" s="3">
        <f t="shared" si="41"/>
        <v>0.86425339366515819</v>
      </c>
      <c r="G152" s="3">
        <f t="shared" si="42"/>
        <v>0.91274083281541396</v>
      </c>
      <c r="H152" s="2">
        <v>24.29</v>
      </c>
      <c r="I152" s="2">
        <v>26.09</v>
      </c>
      <c r="J152" s="2">
        <v>19.29</v>
      </c>
      <c r="K152" s="2">
        <v>37.39</v>
      </c>
      <c r="L152" s="2">
        <v>21.01</v>
      </c>
      <c r="M152" s="4">
        <v>73.430000000000007</v>
      </c>
      <c r="N152" s="5">
        <f t="shared" si="36"/>
        <v>1.7169179229480743E-2</v>
      </c>
      <c r="O152" s="5">
        <f t="shared" si="43"/>
        <v>0.15086016762240836</v>
      </c>
      <c r="P152" s="5">
        <f t="shared" si="44"/>
        <v>9.5400340715502546E-2</v>
      </c>
      <c r="Q152" s="5">
        <f t="shared" si="45"/>
        <v>-9.6641700893935728E-2</v>
      </c>
      <c r="R152" s="5">
        <f t="shared" si="46"/>
        <v>-1.129411764705875E-2</v>
      </c>
      <c r="S152" s="5">
        <f t="shared" si="46"/>
        <v>6.1740890688259262E-2</v>
      </c>
    </row>
    <row r="153" spans="1:19">
      <c r="A153" s="1">
        <v>36068</v>
      </c>
      <c r="B153" s="3">
        <f t="shared" si="37"/>
        <v>1.3461104847801579</v>
      </c>
      <c r="C153" s="3">
        <f t="shared" si="38"/>
        <v>0.90354722997210057</v>
      </c>
      <c r="D153" s="3">
        <f t="shared" si="39"/>
        <v>0.92733017377567151</v>
      </c>
      <c r="E153" s="3">
        <f t="shared" si="40"/>
        <v>1.333870447953593</v>
      </c>
      <c r="F153" s="3">
        <f t="shared" si="41"/>
        <v>0.87412587412587395</v>
      </c>
      <c r="G153" s="3">
        <f t="shared" si="42"/>
        <v>0.85966438781852128</v>
      </c>
      <c r="H153" s="2">
        <v>23.88</v>
      </c>
      <c r="I153" s="2">
        <v>22.67</v>
      </c>
      <c r="J153" s="2">
        <v>17.61</v>
      </c>
      <c r="K153" s="2">
        <v>41.39</v>
      </c>
      <c r="L153" s="2">
        <v>21.25</v>
      </c>
      <c r="M153" s="4">
        <v>69.16</v>
      </c>
      <c r="N153" s="5">
        <f t="shared" si="36"/>
        <v>9.1407678244972576E-2</v>
      </c>
      <c r="O153" s="5">
        <f t="shared" si="43"/>
        <v>-0.12841214917339483</v>
      </c>
      <c r="P153" s="5">
        <f t="shared" si="44"/>
        <v>0.10546139359698681</v>
      </c>
      <c r="Q153" s="5">
        <f t="shared" si="45"/>
        <v>-0.10469392169586841</v>
      </c>
      <c r="R153" s="5">
        <f t="shared" si="46"/>
        <v>1.3835877862595379E-2</v>
      </c>
      <c r="S153" s="5">
        <f t="shared" si="46"/>
        <v>8.2146768893756855E-2</v>
      </c>
    </row>
    <row r="154" spans="1:19">
      <c r="A154" s="1">
        <v>36040</v>
      </c>
      <c r="B154" s="3">
        <f t="shared" si="37"/>
        <v>1.2333709131905299</v>
      </c>
      <c r="C154" s="3">
        <f t="shared" si="38"/>
        <v>1.0366679952172182</v>
      </c>
      <c r="D154" s="3">
        <f t="shared" si="39"/>
        <v>0.83886255924170627</v>
      </c>
      <c r="E154" s="3">
        <f t="shared" si="40"/>
        <v>1.4898485336770864</v>
      </c>
      <c r="F154" s="3">
        <f t="shared" si="41"/>
        <v>0.8621966269025092</v>
      </c>
      <c r="G154" s="3">
        <f t="shared" si="42"/>
        <v>0.79440646364201406</v>
      </c>
      <c r="H154" s="2">
        <v>21.88</v>
      </c>
      <c r="I154" s="2">
        <v>26.01</v>
      </c>
      <c r="J154" s="2">
        <v>15.93</v>
      </c>
      <c r="K154" s="2">
        <v>46.23</v>
      </c>
      <c r="L154" s="2">
        <v>20.96</v>
      </c>
      <c r="M154" s="4">
        <v>63.91</v>
      </c>
      <c r="N154" s="5">
        <f t="shared" si="36"/>
        <v>-4.8695652173913084E-2</v>
      </c>
      <c r="O154" s="5">
        <f t="shared" si="43"/>
        <v>-7.9292035398230029E-2</v>
      </c>
      <c r="P154" s="5">
        <f t="shared" si="44"/>
        <v>-0.27689514298683621</v>
      </c>
      <c r="Q154" s="5">
        <f t="shared" si="45"/>
        <v>2.1431727794962416E-2</v>
      </c>
      <c r="R154" s="5">
        <f t="shared" si="46"/>
        <v>-0.16293929712460056</v>
      </c>
      <c r="S154" s="5">
        <f t="shared" si="46"/>
        <v>-0.10477657935285059</v>
      </c>
    </row>
    <row r="155" spans="1:19">
      <c r="A155" s="1">
        <v>36007</v>
      </c>
      <c r="B155" s="3">
        <f t="shared" si="37"/>
        <v>1.2965050732807215</v>
      </c>
      <c r="C155" s="3">
        <f t="shared" si="38"/>
        <v>1.125946592267836</v>
      </c>
      <c r="D155" s="3">
        <f t="shared" si="39"/>
        <v>1.1600842548709851</v>
      </c>
      <c r="E155" s="3">
        <f t="shared" si="40"/>
        <v>1.4585884627779564</v>
      </c>
      <c r="F155" s="3">
        <f t="shared" si="41"/>
        <v>1.0300287947346769</v>
      </c>
      <c r="G155" s="3">
        <f t="shared" si="42"/>
        <v>0.88738346799254242</v>
      </c>
      <c r="H155" s="2">
        <v>23</v>
      </c>
      <c r="I155" s="2">
        <v>28.25</v>
      </c>
      <c r="J155" s="2">
        <v>22.03</v>
      </c>
      <c r="K155" s="2">
        <v>45.26</v>
      </c>
      <c r="L155" s="2">
        <v>25.04</v>
      </c>
      <c r="M155" s="4">
        <v>71.39</v>
      </c>
      <c r="N155" s="5">
        <f t="shared" si="36"/>
        <v>-0.14211115255501675</v>
      </c>
      <c r="O155" s="5">
        <f t="shared" si="43"/>
        <v>-0.10317460317460317</v>
      </c>
      <c r="P155" s="5">
        <f t="shared" si="44"/>
        <v>-6.88926458157227E-2</v>
      </c>
      <c r="Q155" s="5">
        <f t="shared" si="45"/>
        <v>-1.0710382513661246E-2</v>
      </c>
      <c r="R155" s="5">
        <f t="shared" si="46"/>
        <v>7.4217074217074241E-2</v>
      </c>
      <c r="S155" s="5">
        <f t="shared" si="46"/>
        <v>6.7691439853335778E-3</v>
      </c>
    </row>
    <row r="156" spans="1:19">
      <c r="A156" s="1">
        <v>35976</v>
      </c>
      <c r="B156" s="3">
        <f t="shared" si="37"/>
        <v>1.5112739571589626</v>
      </c>
      <c r="C156" s="3">
        <f t="shared" si="38"/>
        <v>1.2554802710243127</v>
      </c>
      <c r="D156" s="3">
        <f t="shared" si="39"/>
        <v>1.2459189046866777</v>
      </c>
      <c r="E156" s="3">
        <f t="shared" si="40"/>
        <v>1.4743796326135994</v>
      </c>
      <c r="F156" s="3">
        <f t="shared" si="41"/>
        <v>0.95886466474701759</v>
      </c>
      <c r="G156" s="3">
        <f t="shared" si="42"/>
        <v>0.88141702921069021</v>
      </c>
      <c r="H156" s="2">
        <v>26.81</v>
      </c>
      <c r="I156" s="2">
        <v>31.5</v>
      </c>
      <c r="J156" s="2">
        <v>23.66</v>
      </c>
      <c r="K156" s="2">
        <v>45.75</v>
      </c>
      <c r="L156" s="2">
        <v>23.31</v>
      </c>
      <c r="M156" s="4">
        <v>70.91</v>
      </c>
      <c r="N156" s="5">
        <f t="shared" si="36"/>
        <v>2.3673157693776151E-2</v>
      </c>
      <c r="O156" s="5">
        <f t="shared" si="43"/>
        <v>-7.7328646748681909E-2</v>
      </c>
      <c r="P156" s="5">
        <f t="shared" si="44"/>
        <v>-8.1521739130434839E-2</v>
      </c>
      <c r="Q156" s="5">
        <f t="shared" si="45"/>
        <v>-7.7434966727162796E-2</v>
      </c>
      <c r="R156" s="5">
        <f t="shared" si="46"/>
        <v>-0.19592963090720938</v>
      </c>
      <c r="S156" s="5">
        <f t="shared" si="46"/>
        <v>-7.8851649779163507E-2</v>
      </c>
    </row>
    <row r="157" spans="1:19">
      <c r="A157" s="1">
        <v>35948</v>
      </c>
      <c r="B157" s="3">
        <f t="shared" si="37"/>
        <v>1.4763246899661782</v>
      </c>
      <c r="C157" s="3">
        <f t="shared" si="38"/>
        <v>1.3607014746911124</v>
      </c>
      <c r="D157" s="3">
        <f t="shared" si="39"/>
        <v>1.3565034228541344</v>
      </c>
      <c r="E157" s="3">
        <f t="shared" si="40"/>
        <v>1.5981308411214949</v>
      </c>
      <c r="F157" s="3">
        <f t="shared" si="41"/>
        <v>1.1925133689839571</v>
      </c>
      <c r="G157" s="3">
        <f t="shared" si="42"/>
        <v>0.95686761963952804</v>
      </c>
      <c r="H157" s="2">
        <v>26.19</v>
      </c>
      <c r="I157" s="2">
        <v>34.14</v>
      </c>
      <c r="J157" s="2">
        <v>25.76</v>
      </c>
      <c r="K157" s="2">
        <v>49.59</v>
      </c>
      <c r="L157" s="2">
        <v>28.99</v>
      </c>
      <c r="M157" s="4">
        <v>76.98</v>
      </c>
      <c r="N157" s="5">
        <f t="shared" si="36"/>
        <v>-1.4301844185171208E-2</v>
      </c>
      <c r="O157" s="5">
        <f t="shared" si="43"/>
        <v>5.5006180469715733E-2</v>
      </c>
      <c r="P157" s="5">
        <f t="shared" si="44"/>
        <v>-0.10118632240055822</v>
      </c>
      <c r="Q157" s="5">
        <f t="shared" si="45"/>
        <v>0.11991869918699191</v>
      </c>
      <c r="R157" s="5">
        <f t="shared" si="46"/>
        <v>-7.8219395866454725E-2</v>
      </c>
      <c r="S157" s="5">
        <f t="shared" si="46"/>
        <v>-7.3757670557092953E-2</v>
      </c>
    </row>
    <row r="158" spans="1:19">
      <c r="A158" s="1">
        <v>35915</v>
      </c>
      <c r="B158" s="3">
        <f t="shared" si="37"/>
        <v>1.4977452085682075</v>
      </c>
      <c r="C158" s="3">
        <f t="shared" si="38"/>
        <v>1.2897568752491035</v>
      </c>
      <c r="D158" s="3">
        <f t="shared" si="39"/>
        <v>1.5092153765139553</v>
      </c>
      <c r="E158" s="3">
        <f t="shared" si="40"/>
        <v>1.4270061231066706</v>
      </c>
      <c r="F158" s="3">
        <f t="shared" si="41"/>
        <v>1.2937062937062938</v>
      </c>
      <c r="G158" s="3">
        <f t="shared" si="42"/>
        <v>1.0330640149160972</v>
      </c>
      <c r="H158" s="2">
        <v>26.57</v>
      </c>
      <c r="I158" s="2">
        <v>32.36</v>
      </c>
      <c r="J158" s="2">
        <v>28.66</v>
      </c>
      <c r="K158" s="2">
        <v>44.28</v>
      </c>
      <c r="L158" s="2">
        <v>31.45</v>
      </c>
      <c r="M158" s="4">
        <v>83.11</v>
      </c>
      <c r="N158" s="5">
        <f t="shared" si="36"/>
        <v>-1.5196441808747225E-2</v>
      </c>
      <c r="O158" s="5">
        <f t="shared" si="43"/>
        <v>-4.0047463660634865E-2</v>
      </c>
      <c r="P158" s="5">
        <f t="shared" si="44"/>
        <v>7.3810415886099615E-2</v>
      </c>
      <c r="Q158" s="5">
        <f t="shared" si="45"/>
        <v>-1.1607142857142769E-2</v>
      </c>
      <c r="R158" s="5">
        <f t="shared" si="46"/>
        <v>4.4850498338870358E-2</v>
      </c>
      <c r="S158" s="5">
        <f t="shared" si="46"/>
        <v>-5.9801459155603394E-3</v>
      </c>
    </row>
    <row r="159" spans="1:19">
      <c r="A159" s="1">
        <v>35885</v>
      </c>
      <c r="B159" s="3">
        <f t="shared" si="37"/>
        <v>1.5208568207440814</v>
      </c>
      <c r="C159" s="3">
        <f t="shared" si="38"/>
        <v>1.3435631725787169</v>
      </c>
      <c r="D159" s="3">
        <f t="shared" si="39"/>
        <v>1.4054765666140079</v>
      </c>
      <c r="E159" s="3">
        <f t="shared" si="40"/>
        <v>1.4437640992587815</v>
      </c>
      <c r="F159" s="3">
        <f t="shared" si="41"/>
        <v>1.2381735911147675</v>
      </c>
      <c r="G159" s="3">
        <f t="shared" si="42"/>
        <v>1.0392790553138598</v>
      </c>
      <c r="H159" s="2">
        <v>26.98</v>
      </c>
      <c r="I159" s="2">
        <v>33.71</v>
      </c>
      <c r="J159" s="2">
        <v>26.69</v>
      </c>
      <c r="K159" s="2">
        <v>44.8</v>
      </c>
      <c r="L159" s="2">
        <v>30.1</v>
      </c>
      <c r="M159" s="4">
        <v>83.61</v>
      </c>
      <c r="N159" s="5">
        <f t="shared" si="36"/>
        <v>-5.4328776726253088E-2</v>
      </c>
      <c r="O159" s="5">
        <f t="shared" si="43"/>
        <v>-7.5678639978064108E-2</v>
      </c>
      <c r="P159" s="5">
        <f t="shared" si="44"/>
        <v>-4.1651705565529627E-2</v>
      </c>
      <c r="Q159" s="5">
        <f t="shared" si="45"/>
        <v>9.2416483784442796E-2</v>
      </c>
      <c r="R159" s="5">
        <f t="shared" si="46"/>
        <v>3.5788024776324937E-2</v>
      </c>
      <c r="S159" s="5">
        <f t="shared" si="46"/>
        <v>-5.8127745860087829E-2</v>
      </c>
    </row>
    <row r="160" spans="1:19">
      <c r="A160" s="1">
        <v>35854</v>
      </c>
      <c r="B160" s="3">
        <f t="shared" si="37"/>
        <v>1.6082299887260432</v>
      </c>
      <c r="C160" s="3">
        <f t="shared" si="38"/>
        <v>1.4535671582303709</v>
      </c>
      <c r="D160" s="3">
        <f t="shared" si="39"/>
        <v>1.4665613480779363</v>
      </c>
      <c r="E160" s="3">
        <f t="shared" si="40"/>
        <v>1.3216242346116658</v>
      </c>
      <c r="F160" s="3">
        <f t="shared" si="41"/>
        <v>1.1953928424516658</v>
      </c>
      <c r="G160" s="3">
        <f t="shared" si="42"/>
        <v>1.1034182722187695</v>
      </c>
      <c r="H160" s="2">
        <v>28.53</v>
      </c>
      <c r="I160" s="2">
        <v>36.47</v>
      </c>
      <c r="J160" s="2">
        <v>27.85</v>
      </c>
      <c r="K160" s="2">
        <v>41.01</v>
      </c>
      <c r="L160" s="2">
        <v>29.06</v>
      </c>
      <c r="M160" s="4">
        <v>88.77</v>
      </c>
      <c r="N160" s="5">
        <f t="shared" si="36"/>
        <v>1.7112299465240656E-2</v>
      </c>
      <c r="O160" s="5">
        <f t="shared" si="43"/>
        <v>4.9798503166378724E-2</v>
      </c>
      <c r="P160" s="5">
        <f t="shared" si="44"/>
        <v>3.9653929343908796E-3</v>
      </c>
      <c r="Q160" s="5">
        <f t="shared" si="45"/>
        <v>2.0657043305126885E-2</v>
      </c>
      <c r="R160" s="5">
        <f t="shared" si="46"/>
        <v>6.097115735669946E-2</v>
      </c>
      <c r="S160" s="5">
        <f t="shared" si="46"/>
        <v>3.3290653008962862E-2</v>
      </c>
    </row>
    <row r="161" spans="1:19">
      <c r="A161" s="1">
        <v>35826</v>
      </c>
      <c r="B161" s="3">
        <f t="shared" si="37"/>
        <v>1.5811724915445324</v>
      </c>
      <c r="C161" s="3">
        <f t="shared" si="38"/>
        <v>1.3846153846153848</v>
      </c>
      <c r="D161" s="3">
        <f t="shared" si="39"/>
        <v>1.460768825697736</v>
      </c>
      <c r="E161" s="3">
        <f t="shared" si="40"/>
        <v>1.2948759265227197</v>
      </c>
      <c r="F161" s="3">
        <f t="shared" si="41"/>
        <v>1.1266968325791853</v>
      </c>
      <c r="G161" s="3">
        <f t="shared" si="42"/>
        <v>1.0678682411435674</v>
      </c>
      <c r="H161" s="2">
        <v>28.05</v>
      </c>
      <c r="I161" s="2">
        <v>34.74</v>
      </c>
      <c r="J161" s="2">
        <v>27.74</v>
      </c>
      <c r="K161" s="2">
        <v>40.18</v>
      </c>
      <c r="L161" s="2">
        <v>27.39</v>
      </c>
      <c r="M161" s="4">
        <v>85.91</v>
      </c>
      <c r="N161" s="5">
        <f t="shared" si="36"/>
        <v>6.5324724648689797E-2</v>
      </c>
      <c r="O161" s="5">
        <f t="shared" si="43"/>
        <v>0.12719013627514605</v>
      </c>
      <c r="P161" s="5">
        <f t="shared" si="44"/>
        <v>0.14062499999999992</v>
      </c>
      <c r="Q161" s="5">
        <f t="shared" si="45"/>
        <v>6.6914498141264031E-2</v>
      </c>
      <c r="R161" s="5">
        <f t="shared" si="46"/>
        <v>1.1074197120708775E-2</v>
      </c>
      <c r="S161" s="5">
        <f t="shared" si="46"/>
        <v>-1.7946959304984082E-2</v>
      </c>
    </row>
    <row r="162" spans="1:19">
      <c r="A162" s="1">
        <v>35796</v>
      </c>
      <c r="B162" s="3">
        <f t="shared" si="37"/>
        <v>1.4842164599774521</v>
      </c>
      <c r="C162" s="3">
        <f t="shared" si="38"/>
        <v>1.2283778397768037</v>
      </c>
      <c r="D162" s="3">
        <f t="shared" si="39"/>
        <v>1.2806740389678781</v>
      </c>
      <c r="E162" s="3">
        <f t="shared" si="40"/>
        <v>1.2136641959394132</v>
      </c>
      <c r="F162" s="3">
        <f t="shared" si="41"/>
        <v>1.1143562320032907</v>
      </c>
      <c r="G162" s="3">
        <f t="shared" si="42"/>
        <v>1.087383467992542</v>
      </c>
      <c r="H162" s="2">
        <v>26.33</v>
      </c>
      <c r="I162" s="2">
        <v>30.82</v>
      </c>
      <c r="J162" s="2">
        <v>24.32</v>
      </c>
      <c r="K162" s="2">
        <v>37.659999999999997</v>
      </c>
      <c r="L162" s="2">
        <v>27.09</v>
      </c>
      <c r="M162" s="4">
        <v>87.48</v>
      </c>
      <c r="N162" s="5">
        <f t="shared" si="36"/>
        <v>6.3408723747980483E-2</v>
      </c>
      <c r="O162" s="5">
        <f t="shared" si="43"/>
        <v>5.5841041452552205E-2</v>
      </c>
      <c r="P162" s="5">
        <f t="shared" si="44"/>
        <v>-6.5359477124183061E-3</v>
      </c>
      <c r="Q162" s="5">
        <f t="shared" si="45"/>
        <v>0.13502109704641341</v>
      </c>
      <c r="R162" s="5">
        <f t="shared" si="46"/>
        <v>0.17833840800347986</v>
      </c>
      <c r="S162" s="5">
        <f t="shared" si="46"/>
        <v>-9.8471986417655952E-3</v>
      </c>
    </row>
    <row r="163" spans="1:19">
      <c r="A163" s="1">
        <v>35766</v>
      </c>
      <c r="B163" s="3">
        <f t="shared" si="37"/>
        <v>1.3957158962795941</v>
      </c>
      <c r="C163" s="3">
        <f t="shared" si="38"/>
        <v>1.1634117178158629</v>
      </c>
      <c r="D163" s="3">
        <f t="shared" si="39"/>
        <v>1.2890995260663509</v>
      </c>
      <c r="E163" s="3">
        <f t="shared" si="40"/>
        <v>1.0692877860135352</v>
      </c>
      <c r="F163" s="3">
        <f t="shared" si="41"/>
        <v>0.94570135746606332</v>
      </c>
      <c r="G163" s="3">
        <f t="shared" si="42"/>
        <v>1.0981976382846488</v>
      </c>
      <c r="H163" s="2">
        <v>24.76</v>
      </c>
      <c r="I163" s="2">
        <v>29.19</v>
      </c>
      <c r="J163" s="2">
        <v>24.48</v>
      </c>
      <c r="K163" s="2">
        <v>33.18</v>
      </c>
      <c r="L163" s="2">
        <v>22.99</v>
      </c>
      <c r="M163" s="4">
        <v>88.35</v>
      </c>
      <c r="N163" s="5">
        <f t="shared" si="36"/>
        <v>7.3720728534258581E-2</v>
      </c>
      <c r="O163" s="5">
        <f t="shared" si="43"/>
        <v>0.10484481453444358</v>
      </c>
      <c r="P163" s="5">
        <f t="shared" si="44"/>
        <v>2.0850708924103418E-2</v>
      </c>
      <c r="Q163" s="5">
        <f t="shared" si="45"/>
        <v>4.8455481526346635E-3</v>
      </c>
      <c r="R163" s="5">
        <f t="shared" si="46"/>
        <v>-2.6030368763558468E-3</v>
      </c>
      <c r="S163" s="5">
        <f t="shared" si="46"/>
        <v>5.691519635742744E-3</v>
      </c>
    </row>
    <row r="164" spans="1:19">
      <c r="A164" s="1">
        <v>35734</v>
      </c>
      <c r="B164" s="3">
        <f t="shared" si="37"/>
        <v>1.2998872604284104</v>
      </c>
      <c r="C164" s="3">
        <f t="shared" si="38"/>
        <v>1.0530091669988044</v>
      </c>
      <c r="D164" s="3">
        <f t="shared" si="39"/>
        <v>1.262769878883623</v>
      </c>
      <c r="E164" s="3">
        <f t="shared" si="40"/>
        <v>1.0641314856590398</v>
      </c>
      <c r="F164" s="3">
        <f t="shared" si="41"/>
        <v>0.94816947758124237</v>
      </c>
      <c r="G164" s="3">
        <f t="shared" si="42"/>
        <v>1.0919825978868862</v>
      </c>
      <c r="H164" s="2">
        <v>23.06</v>
      </c>
      <c r="I164" s="2">
        <v>26.42</v>
      </c>
      <c r="J164" s="2">
        <v>23.98</v>
      </c>
      <c r="K164" s="2">
        <v>33.020000000000003</v>
      </c>
      <c r="L164" s="2">
        <v>23.05</v>
      </c>
      <c r="M164" s="4">
        <v>87.85</v>
      </c>
      <c r="N164" s="5">
        <f t="shared" si="36"/>
        <v>0.12159533073929962</v>
      </c>
      <c r="O164" s="5">
        <f t="shared" si="43"/>
        <v>8.2343301925440454E-2</v>
      </c>
      <c r="P164" s="5">
        <f t="shared" si="44"/>
        <v>0.12793979303857003</v>
      </c>
      <c r="Q164" s="5">
        <f t="shared" si="45"/>
        <v>-4.5388840705406192E-2</v>
      </c>
      <c r="R164" s="5">
        <f t="shared" si="46"/>
        <v>1.5866020273248099E-2</v>
      </c>
      <c r="S164" s="5">
        <f t="shared" si="46"/>
        <v>7.7914110429447778E-2</v>
      </c>
    </row>
    <row r="165" spans="1:19">
      <c r="A165" s="1">
        <v>35703</v>
      </c>
      <c r="B165" s="3">
        <f t="shared" si="37"/>
        <v>1.1589627959413755</v>
      </c>
      <c r="C165" s="3">
        <f t="shared" si="38"/>
        <v>0.972897568752491</v>
      </c>
      <c r="D165" s="3">
        <f t="shared" si="39"/>
        <v>1.1195365982095842</v>
      </c>
      <c r="E165" s="3">
        <f t="shared" si="40"/>
        <v>1.1147276828875283</v>
      </c>
      <c r="F165" s="3">
        <f t="shared" si="41"/>
        <v>0.93336075689016873</v>
      </c>
      <c r="G165" s="3">
        <f t="shared" si="42"/>
        <v>1.0130515848353014</v>
      </c>
      <c r="H165" s="2">
        <v>20.56</v>
      </c>
      <c r="I165" s="2">
        <v>24.41</v>
      </c>
      <c r="J165" s="2">
        <v>21.26</v>
      </c>
      <c r="K165" s="2">
        <v>34.590000000000003</v>
      </c>
      <c r="L165" s="2">
        <v>22.69</v>
      </c>
      <c r="M165" s="4">
        <v>81.5</v>
      </c>
      <c r="N165" s="5">
        <f t="shared" si="36"/>
        <v>0.15896279594137544</v>
      </c>
      <c r="O165" s="5">
        <f t="shared" si="43"/>
        <v>-2.7102431247508958E-2</v>
      </c>
      <c r="P165" s="5">
        <f t="shared" si="44"/>
        <v>0.11953659820958416</v>
      </c>
      <c r="Q165" s="5">
        <f t="shared" si="45"/>
        <v>0.11472768288752827</v>
      </c>
      <c r="R165" s="5">
        <f t="shared" si="46"/>
        <v>-6.6639243109831242E-2</v>
      </c>
      <c r="S165" s="5">
        <f t="shared" si="46"/>
        <v>1.3051584835301394E-2</v>
      </c>
    </row>
    <row r="166" spans="1:19">
      <c r="A166" s="1">
        <v>35689</v>
      </c>
      <c r="B166" s="3">
        <v>1</v>
      </c>
      <c r="C166" s="3">
        <v>1</v>
      </c>
      <c r="D166" s="3">
        <v>1</v>
      </c>
      <c r="E166" s="3">
        <v>1</v>
      </c>
      <c r="F166" s="3">
        <v>1</v>
      </c>
      <c r="G166" s="3">
        <v>1</v>
      </c>
      <c r="H166" s="2">
        <v>17.739999999999998</v>
      </c>
      <c r="I166" s="2">
        <v>25.09</v>
      </c>
      <c r="J166" s="2">
        <v>18.989999999999998</v>
      </c>
      <c r="K166" s="2">
        <v>31.03</v>
      </c>
      <c r="L166" s="2">
        <v>24.31</v>
      </c>
      <c r="M166" s="4">
        <v>80.45</v>
      </c>
      <c r="N166" s="5" t="e">
        <f t="shared" si="36"/>
        <v>#DIV/0!</v>
      </c>
      <c r="O166" s="5" t="e">
        <f t="shared" si="43"/>
        <v>#DIV/0!</v>
      </c>
      <c r="P166" s="5" t="e">
        <f t="shared" si="44"/>
        <v>#DIV/0!</v>
      </c>
      <c r="Q166" s="5" t="e">
        <f t="shared" si="45"/>
        <v>#DIV/0!</v>
      </c>
      <c r="R166" s="5" t="e">
        <f t="shared" si="46"/>
        <v>#DIV/0!</v>
      </c>
      <c r="S166" s="5" t="e">
        <f t="shared" si="46"/>
        <v>#DIV/0!</v>
      </c>
    </row>
  </sheetData>
  <mergeCells count="3">
    <mergeCell ref="B1:G1"/>
    <mergeCell ref="H1:M1"/>
    <mergeCell ref="N1:S1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Faber</dc:creator>
  <cp:lastModifiedBy>Isaac Faber</cp:lastModifiedBy>
  <dcterms:created xsi:type="dcterms:W3CDTF">2015-04-07T01:17:59Z</dcterms:created>
  <dcterms:modified xsi:type="dcterms:W3CDTF">2015-04-07T01:32:23Z</dcterms:modified>
</cp:coreProperties>
</file>